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MMGPA\6. Review Format Development\"/>
    </mc:Choice>
  </mc:AlternateContent>
  <xr:revisionPtr revIDLastSave="0" documentId="13_ncr:1_{832B42BB-9ED5-40F2-99AF-A8C1EFC859D9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Sheet1!$A$1:$R$177</definedName>
  </definedNames>
  <calcPr calcId="19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1" i="1" l="1"/>
  <c r="L83" i="1"/>
  <c r="L73" i="1"/>
  <c r="L68" i="1"/>
  <c r="L55" i="1"/>
  <c r="J42" i="1"/>
  <c r="L40" i="1"/>
  <c r="L39" i="1"/>
  <c r="J31" i="1"/>
  <c r="J30" i="1"/>
  <c r="J28" i="1"/>
  <c r="G28" i="1"/>
  <c r="J25" i="1"/>
  <c r="J19" i="1"/>
  <c r="J16" i="1"/>
  <c r="J15" i="1"/>
  <c r="J13" i="1"/>
  <c r="J12" i="1"/>
  <c r="G12" i="1"/>
  <c r="J11" i="1"/>
</calcChain>
</file>

<file path=xl/sharedStrings.xml><?xml version="1.0" encoding="utf-8"?>
<sst xmlns="http://schemas.openxmlformats.org/spreadsheetml/2006/main" count="2253" uniqueCount="573">
  <si>
    <t>Sr- No-</t>
  </si>
  <si>
    <t>Year</t>
  </si>
  <si>
    <t>Date of Proposal Received</t>
  </si>
  <si>
    <t>Received From - Department</t>
  </si>
  <si>
    <t>Name of Bureau</t>
  </si>
  <si>
    <t>Administrative Approval GR Date</t>
  </si>
  <si>
    <t>Total Number of Items / P-O-</t>
  </si>
  <si>
    <t>PO Number</t>
  </si>
  <si>
    <t>Name of Item</t>
  </si>
  <si>
    <t>Total Amount of Purchase Order(s)</t>
  </si>
  <si>
    <t>Budget Source</t>
  </si>
  <si>
    <t>Amount Received against Proposal</t>
  </si>
  <si>
    <t xml:space="preserve"> Pharmacy Officer</t>
  </si>
  <si>
    <t>Tender Number</t>
  </si>
  <si>
    <t>Remarks / Current Status of File</t>
  </si>
  <si>
    <t>Date of Purchase Order(s)</t>
  </si>
  <si>
    <t>Bill
submitted
YES/NO</t>
  </si>
  <si>
    <t>Delivery Status (Yes/No/Partial Supply)</t>
  </si>
  <si>
    <t>2023-24</t>
  </si>
  <si>
    <t>Public Health Department</t>
  </si>
  <si>
    <t>(TB, BCG) Pune 6</t>
  </si>
  <si>
    <t>14-08-2023</t>
  </si>
  <si>
    <t xml:space="preserve">Proprietary Items- TB Consumables </t>
  </si>
  <si>
    <t>NHM PIP 2023-24</t>
  </si>
  <si>
    <t>Direct Purchase</t>
  </si>
  <si>
    <t>Orders Issued-</t>
  </si>
  <si>
    <t>31-10-2023</t>
  </si>
  <si>
    <t>yes</t>
  </si>
  <si>
    <t>Delivered</t>
  </si>
  <si>
    <t>21-09-2023</t>
  </si>
  <si>
    <t>24-08-2023</t>
  </si>
  <si>
    <t xml:space="preserve">Proprietary Items-  Truenaat Chips </t>
  </si>
  <si>
    <t>Order Issued-</t>
  </si>
  <si>
    <t>27-10-2023</t>
  </si>
  <si>
    <t>Proprietary Items-  CBNaat Cartridges</t>
  </si>
  <si>
    <t>25-09-2023</t>
  </si>
  <si>
    <t xml:space="preserve">Addl- Director (Mental Health) Mumbai </t>
  </si>
  <si>
    <t>Linen for 4 Regional Mental Hospital</t>
  </si>
  <si>
    <t>State Budget    2210 0217</t>
  </si>
  <si>
    <t>Direct Purchase - Handloom Corpo-</t>
  </si>
  <si>
    <t>22-11-2023</t>
  </si>
  <si>
    <t>Partially Delivered</t>
  </si>
  <si>
    <t xml:space="preserve">JDHS (Proc- Cell) Mumbai </t>
  </si>
  <si>
    <t>Emergency Medicines (20%)</t>
  </si>
  <si>
    <t>NHM PIP 2023-25</t>
  </si>
  <si>
    <t>Direct Purcase on ESIC RC</t>
  </si>
  <si>
    <t>Orders issued-</t>
  </si>
  <si>
    <t>JDHS (Technical) Mumbai</t>
  </si>
  <si>
    <t>All Hemophillia Factor (Different Varient)</t>
  </si>
  <si>
    <t xml:space="preserve"> ESIC RC + MMGPA Tender (RC)</t>
  </si>
  <si>
    <t xml:space="preserve">27-10-2023 &amp; 31-01-2023 &amp; 14-02-2024 &amp; 06-03-2024 </t>
  </si>
  <si>
    <t>JDHS (TB, BCG) Pune</t>
  </si>
  <si>
    <t>Emergency Medicines</t>
  </si>
  <si>
    <t xml:space="preserve">Orders issued- </t>
  </si>
  <si>
    <t>State Budget  2023-24</t>
  </si>
  <si>
    <t>16-10-2023</t>
  </si>
  <si>
    <t xml:space="preserve">Additional Director (SFWB) Pune 1 </t>
  </si>
  <si>
    <t>31-03-2023</t>
  </si>
  <si>
    <t xml:space="preserve">NHM PIP 2022-24 </t>
  </si>
  <si>
    <t xml:space="preserve">Medical Education &amp; Research </t>
  </si>
  <si>
    <t>Director, DMER</t>
  </si>
  <si>
    <t>no</t>
  </si>
  <si>
    <t>28-08-2023</t>
  </si>
  <si>
    <t>JDHS (Technical)</t>
  </si>
  <si>
    <t>Solubility Test Kit</t>
  </si>
  <si>
    <t>E-Tender</t>
  </si>
  <si>
    <t>Order issued-</t>
  </si>
  <si>
    <t>21-12-2023,     20-06-2024</t>
  </si>
  <si>
    <t>JDHS (WBD) Pune</t>
  </si>
  <si>
    <t>28-06-2023</t>
  </si>
  <si>
    <t>E- 01 to E-05 &amp; E- 25</t>
  </si>
  <si>
    <t>10-01-2024 &amp; 29-01-2024 &amp; 13-03-2024 &amp; 27-06-2024</t>
  </si>
  <si>
    <t>30-01-2024</t>
  </si>
  <si>
    <t>JDHS (NCD)</t>
  </si>
  <si>
    <t>Intra Occular Lense</t>
  </si>
  <si>
    <t xml:space="preserve">NHM PIP 2022-23 </t>
  </si>
  <si>
    <t>13-02-2024</t>
  </si>
  <si>
    <t>Truenaat Chips</t>
  </si>
  <si>
    <t>15th Finance</t>
  </si>
  <si>
    <t>Truenaat Machine</t>
  </si>
  <si>
    <t>ICDC, Navi Mumbai</t>
  </si>
  <si>
    <t>Commissioner (ICDS) Navi Mumbai</t>
  </si>
  <si>
    <t>Medicine Kit for Anganwadi Kendra under ICDS</t>
  </si>
  <si>
    <t>ICDS Budget     2023-24</t>
  </si>
  <si>
    <t xml:space="preserve">Visave </t>
  </si>
  <si>
    <t>E-21 (GeM)</t>
  </si>
  <si>
    <t>21-02-2024</t>
  </si>
  <si>
    <t>JDHS (Hospital Cell) Mumbai</t>
  </si>
  <si>
    <t>3 FDC (A) DSTB CP - Adult Strip of 28 Tablets</t>
  </si>
  <si>
    <t>E-53</t>
  </si>
  <si>
    <t>14-05-2024</t>
  </si>
  <si>
    <t>Medicines (Haffkine Reserved Items)</t>
  </si>
  <si>
    <t>Direct purchase on HBPCL</t>
  </si>
  <si>
    <t>12-01-2024,   16-05-2024</t>
  </si>
  <si>
    <t>Consumables reserved for Leprosy Handicapped Persons Society Pune</t>
  </si>
  <si>
    <t>27-12-2023</t>
  </si>
  <si>
    <t>Medicines</t>
  </si>
  <si>
    <t>State Budget 2023-24</t>
  </si>
  <si>
    <t>Roshan</t>
  </si>
  <si>
    <t>28-05-2024</t>
  </si>
  <si>
    <t>Psychiatric Medicines</t>
  </si>
  <si>
    <t>State Budget    2210 0291</t>
  </si>
  <si>
    <t>sameer shaikh</t>
  </si>
  <si>
    <t>E-19</t>
  </si>
  <si>
    <t>Commissioner (DMER) Mumbai</t>
  </si>
  <si>
    <t>Medicines, Consumables &amp; Other Surgical items</t>
  </si>
  <si>
    <t>E-18</t>
  </si>
  <si>
    <t>31-05-2024,        07-06-2024, 26-06-2024,      16-07-2024,    22-08-2024
12-03-2025</t>
  </si>
  <si>
    <t xml:space="preserve">Reserved medicines HBPCL Reserved Items </t>
  </si>
  <si>
    <t>29-11-2023</t>
  </si>
  <si>
    <t>Point of Care Sickle cell Test Kit (Rapid Test Kit)</t>
  </si>
  <si>
    <t xml:space="preserve">NHM PIP 2023-24 </t>
  </si>
  <si>
    <t>E-32</t>
  </si>
  <si>
    <t>23-08-2023</t>
  </si>
  <si>
    <t xml:space="preserve">Additional Director (Mental Health) </t>
  </si>
  <si>
    <t>19-08-2023</t>
  </si>
  <si>
    <t>NHM PIP                  2023-24</t>
  </si>
  <si>
    <t>E -19</t>
  </si>
  <si>
    <t>20-06-2024</t>
  </si>
  <si>
    <t>Inj- Hepaititis B Immunoglobulin (HBIG) 100 IU/ Dose of 0-5ml or 1ml</t>
  </si>
  <si>
    <t>Rutuja kamble</t>
  </si>
  <si>
    <t xml:space="preserve">E - 51 </t>
  </si>
  <si>
    <t>20.06.2024</t>
  </si>
  <si>
    <t>2024-25</t>
  </si>
  <si>
    <t>14-09-2023</t>
  </si>
  <si>
    <t>Medicines &amp; Consumables for Tuberculosis Programme Eradication</t>
  </si>
  <si>
    <t>E-50</t>
  </si>
  <si>
    <t xml:space="preserve">Orders Issued  </t>
  </si>
  <si>
    <t>Unani, Homeopathy Medicines</t>
  </si>
  <si>
    <t>NAM -SAAP 2014-15 &amp; 2017-18</t>
  </si>
  <si>
    <t xml:space="preserve"> E-56</t>
  </si>
  <si>
    <t>E-49</t>
  </si>
  <si>
    <t>18-07-2024</t>
  </si>
  <si>
    <t>JDHS (NCD) Mumbai</t>
  </si>
  <si>
    <t>Medicines &amp; Consumables for Blindness Control Programme</t>
  </si>
  <si>
    <t>E-54</t>
  </si>
  <si>
    <t>22-07-2024</t>
  </si>
  <si>
    <t>14-09-2023 + 27-01-2024</t>
  </si>
  <si>
    <t>Tuberculosis Drugs</t>
  </si>
  <si>
    <t>E-100</t>
  </si>
  <si>
    <t xml:space="preserve">Orders Issued </t>
  </si>
  <si>
    <t>22-08-2024</t>
  </si>
  <si>
    <t xml:space="preserve"> Homeopathy Medicines</t>
  </si>
  <si>
    <t>20-08-2024</t>
  </si>
  <si>
    <t>Ayurvedic Medicines</t>
  </si>
  <si>
    <t xml:space="preserve"> E-55</t>
  </si>
  <si>
    <t>Diagnostic Kit's</t>
  </si>
  <si>
    <t>E-41</t>
  </si>
  <si>
    <t>Order Issued on 10-09-2024</t>
  </si>
  <si>
    <t>E-87</t>
  </si>
  <si>
    <t xml:space="preserve">Order Issued on  </t>
  </si>
  <si>
    <t>Surgical Non- Drug</t>
  </si>
  <si>
    <t xml:space="preserve">Aarti </t>
  </si>
  <si>
    <t>E - 37</t>
  </si>
  <si>
    <t>Order Issued</t>
  </si>
  <si>
    <t>20-09-2024
17-03-2025</t>
  </si>
  <si>
    <t xml:space="preserve">E- 86 </t>
  </si>
  <si>
    <t xml:space="preserve">Order Issued </t>
  </si>
  <si>
    <t>20-09-2024
08-01-2025</t>
  </si>
  <si>
    <t>JT- DHS (Technical) NHM Mumbai</t>
  </si>
  <si>
    <t>Heamophillia Factors                   (Recombinant 500 IU)</t>
  </si>
  <si>
    <t>NHM PIP              2023-24</t>
  </si>
  <si>
    <t xml:space="preserve">R Chavan </t>
  </si>
  <si>
    <t>E-14</t>
  </si>
  <si>
    <t>23-09-2024</t>
  </si>
  <si>
    <t>14-02-2024</t>
  </si>
  <si>
    <t>Surgical Spirit</t>
  </si>
  <si>
    <t>E-102</t>
  </si>
  <si>
    <t>Order Issued on  26-09-2024</t>
  </si>
  <si>
    <t>26-09-2024</t>
  </si>
  <si>
    <t>Vaccine (Immunoglobine)</t>
  </si>
  <si>
    <t>E-123</t>
  </si>
  <si>
    <t>JDHS (Procurement Cell) Mumbai</t>
  </si>
  <si>
    <t>Medicines / Haffkine Reserved Medicines</t>
  </si>
  <si>
    <t>Deepali Kamble</t>
  </si>
  <si>
    <t>E-43, E-59, E-60, E-61, RT-62, E-42</t>
  </si>
  <si>
    <t>12-09-2024     &amp; 30-09-2024</t>
  </si>
  <si>
    <t>Assorted teeth set for RPD various shades  (ANTERIOR AND POSTERIOR)</t>
  </si>
  <si>
    <t>State Budget 2023-25</t>
  </si>
  <si>
    <t>RT-35</t>
  </si>
  <si>
    <t>Order Issued on  03-10-2024</t>
  </si>
  <si>
    <t>29-02-2024</t>
  </si>
  <si>
    <t>Plasma Factors</t>
  </si>
  <si>
    <t>E-125</t>
  </si>
  <si>
    <t>Order Issued on  07-10-2024</t>
  </si>
  <si>
    <t xml:space="preserve">Surgical Dressing </t>
  </si>
  <si>
    <t>State Budget 2023-27</t>
  </si>
  <si>
    <t xml:space="preserve">E- 38 </t>
  </si>
  <si>
    <t>Factor VII 1mg</t>
  </si>
  <si>
    <t>NHM PIP              2024-25</t>
  </si>
  <si>
    <t>E-09 (Rate Contract)</t>
  </si>
  <si>
    <t>Factor VIII with VWF 250 IU</t>
  </si>
  <si>
    <t>E-12 (Rate Contract)</t>
  </si>
  <si>
    <t>1)Benzalkonium chloride solution I-P 20% w/v 500ml bottle
2)Anti D (Rho D) Human Immunoglobuline polyclonal/moclonol 300mcg Inj</t>
  </si>
  <si>
    <t>State Budget 2023-28</t>
  </si>
  <si>
    <t>Repeat Order (E-18)</t>
  </si>
  <si>
    <t xml:space="preserve"> Order Issued  </t>
  </si>
  <si>
    <t>Microcuvettes</t>
  </si>
  <si>
    <t>Patented Product, Direct Purchase</t>
  </si>
  <si>
    <t>19-10-2023</t>
  </si>
  <si>
    <t>Medicines &amp; Consumables for IPHS Centre (Dialysis)</t>
  </si>
  <si>
    <t xml:space="preserve">E-47 </t>
  </si>
  <si>
    <t>23-07-2024</t>
  </si>
  <si>
    <t>JD (Technical) NHM Mumbai</t>
  </si>
  <si>
    <t>26-06-2024</t>
  </si>
  <si>
    <t>Vaginal PH Test Kit</t>
  </si>
  <si>
    <t>E-136</t>
  </si>
  <si>
    <t>E-116</t>
  </si>
  <si>
    <t>E-34</t>
  </si>
  <si>
    <t>27-11-2024
12-03-2025</t>
  </si>
  <si>
    <t>Surgical  Drug</t>
  </si>
  <si>
    <t>E-36</t>
  </si>
  <si>
    <t xml:space="preserve">Anesthetic </t>
  </si>
  <si>
    <t>E- 120</t>
  </si>
  <si>
    <t>27-11-2024</t>
  </si>
  <si>
    <t>Ointments &amp; Other Drugs</t>
  </si>
  <si>
    <t xml:space="preserve">E-121 </t>
  </si>
  <si>
    <t>28-11-2024
12-03-2025
17-03-2025</t>
  </si>
  <si>
    <t xml:space="preserve">Injections </t>
  </si>
  <si>
    <t>E-122</t>
  </si>
  <si>
    <t>29-11-2024
17-03-2025</t>
  </si>
  <si>
    <t>Glass Wares</t>
  </si>
  <si>
    <t>E-127</t>
  </si>
  <si>
    <t>28-11-2024
17-03-2025</t>
  </si>
  <si>
    <t xml:space="preserve">Diagnostic Kit </t>
  </si>
  <si>
    <t>E-129</t>
  </si>
  <si>
    <t xml:space="preserve">28-11-2024
</t>
  </si>
  <si>
    <t>Sutures &amp; Staplers</t>
  </si>
  <si>
    <t xml:space="preserve">E-40 </t>
  </si>
  <si>
    <t xml:space="preserve">IV Fluids </t>
  </si>
  <si>
    <t xml:space="preserve">E-124 </t>
  </si>
  <si>
    <t>03-12-2024
17-03-2025</t>
  </si>
  <si>
    <t>18-09-2024</t>
  </si>
  <si>
    <t>SBTC</t>
  </si>
  <si>
    <t>SBTC Consumables</t>
  </si>
  <si>
    <t>RRT-46</t>
  </si>
  <si>
    <t>1)Paracetamol 10mg/ml Inj 100ml bottle
2)Ceftriaxone Sodium 1gm Inj
3)Piperacilin 4gm + Tazobactum 0-5 mg Inj
4)Meropenam 1gm Inj</t>
  </si>
  <si>
    <t>1)Paracetamol 500mg Tab
2)Oxytocin 5 I-U / ml Inj 1 ml amp
3)Cefotaxime Sodium 1 gm Inj-
4)Rabies Vaccine Human
5)Heaparin Sodium 5000 I-U-/ml Inj 5 ml Vial</t>
  </si>
  <si>
    <t>16-12-2024</t>
  </si>
  <si>
    <t xml:space="preserve">Tablets Capsule And Syrup </t>
  </si>
  <si>
    <t xml:space="preserve">E-101 </t>
  </si>
  <si>
    <t>16-12-2024
12-03-2025
17-03-2025</t>
  </si>
  <si>
    <t xml:space="preserve">Vaccine </t>
  </si>
  <si>
    <t>RT-138</t>
  </si>
  <si>
    <t>16-10-2024</t>
  </si>
  <si>
    <t>Haffkine Reserved Items</t>
  </si>
  <si>
    <t>State Budget 2024-25</t>
  </si>
  <si>
    <t>E- 88</t>
  </si>
  <si>
    <t>23-12-2024
31-12-2024</t>
  </si>
  <si>
    <t>Consumables other than reserved items</t>
  </si>
  <si>
    <t>E-95</t>
  </si>
  <si>
    <t>23-12-2024
08-01-2025</t>
  </si>
  <si>
    <t>30-07-2024</t>
  </si>
  <si>
    <t>27-12-2024</t>
  </si>
  <si>
    <t>14-02-24</t>
  </si>
  <si>
    <t xml:space="preserve">Suture and Staple's </t>
  </si>
  <si>
    <t>E-128</t>
  </si>
  <si>
    <t>1)I-V Metronidazole 100ml Bottle
2)Desflurane 240ml Bottle</t>
  </si>
  <si>
    <t>Tablets</t>
  </si>
  <si>
    <t>RT - 87</t>
  </si>
  <si>
    <t>E-48</t>
  </si>
  <si>
    <t xml:space="preserve">Surgical Drug </t>
  </si>
  <si>
    <t>E-126</t>
  </si>
  <si>
    <t>10-01-2025
17-03-2025</t>
  </si>
  <si>
    <t>24-12-2024</t>
  </si>
  <si>
    <t>Factor VIII Plasma Derived 250 IU</t>
  </si>
  <si>
    <t>E-10 (Rate Contract )</t>
  </si>
  <si>
    <t>20-01-2025</t>
  </si>
  <si>
    <t>Factor VIII Plasma Derived 500 IU</t>
  </si>
  <si>
    <t>E-11 (Rate Contract )</t>
  </si>
  <si>
    <t>31-01-2025</t>
  </si>
  <si>
    <t>Factor IX Plasma Derived 600 IU</t>
  </si>
  <si>
    <t>E-15 (Rate Contract )</t>
  </si>
  <si>
    <t>(Activated Prothrombin Complex Concentrates)
APPCC/FEIBA 500 IU</t>
  </si>
  <si>
    <t>E-16 (Rate Contract )</t>
  </si>
  <si>
    <t>26-08-2024</t>
  </si>
  <si>
    <t>Test Kits</t>
  </si>
  <si>
    <t>12,21,83,183</t>
  </si>
  <si>
    <t>12,29,36,880</t>
  </si>
  <si>
    <t>E-148</t>
  </si>
  <si>
    <t>Lab Equipments</t>
  </si>
  <si>
    <t>1,73,60,787</t>
  </si>
  <si>
    <t>E-150</t>
  </si>
  <si>
    <t>18-03-2025</t>
  </si>
  <si>
    <t>29.06.2024</t>
  </si>
  <si>
    <t>24.06.2024</t>
  </si>
  <si>
    <t>Oral Liquid  /Ointment</t>
  </si>
  <si>
    <t>NHM PIP
2024-25</t>
  </si>
  <si>
    <t>E-159</t>
  </si>
  <si>
    <t>19.03.2025</t>
  </si>
  <si>
    <t>RT-183</t>
  </si>
  <si>
    <t>24.03.2025</t>
  </si>
  <si>
    <t>RT-95</t>
  </si>
  <si>
    <t>Recombinant Factor VII 1mg</t>
  </si>
  <si>
    <t>3,15,75,758</t>
  </si>
  <si>
    <t>M. Sameer Shaikh</t>
  </si>
  <si>
    <t>E-09
(Rate Contract)</t>
  </si>
  <si>
    <t>01.04.2025</t>
  </si>
  <si>
    <t>22-03-2024</t>
  </si>
  <si>
    <t>Addl- Director (SFWB) Pune</t>
  </si>
  <si>
    <t>Free Glasses for Prevention of Visual Impairment in school children</t>
  </si>
  <si>
    <t xml:space="preserve">E-85 </t>
  </si>
  <si>
    <t>2025-26</t>
  </si>
  <si>
    <t>28-03-2025</t>
  </si>
  <si>
    <t>Factor VIII  with VWF 250IU/Vial</t>
  </si>
  <si>
    <t>E-12
(Rate Contract)</t>
  </si>
  <si>
    <t>04.04.2025</t>
  </si>
  <si>
    <t>Tablet Capsule Phase I</t>
  </si>
  <si>
    <t>E-156</t>
  </si>
  <si>
    <t>11.04.2025</t>
  </si>
  <si>
    <t>2,76,98,000</t>
  </si>
  <si>
    <t>16.04.2025</t>
  </si>
  <si>
    <t>30.04.2025</t>
  </si>
  <si>
    <t>JDHS mumbai (HBT)</t>
  </si>
  <si>
    <t>17-02-2025</t>
  </si>
  <si>
    <t>Antisnake Venom Serum strerile  powder with strerile water,lyophilized sterile solution 10ml</t>
  </si>
  <si>
    <t>1,36,52,285</t>
  </si>
  <si>
    <t>HBPCL Reserved item</t>
  </si>
  <si>
    <t>18.06.2025</t>
  </si>
  <si>
    <t>Reagents</t>
  </si>
  <si>
    <t>15th  Finance</t>
  </si>
  <si>
    <t>Rutuja Kamble</t>
  </si>
  <si>
    <t xml:space="preserve">E-149
</t>
  </si>
  <si>
    <t>24.06.2025</t>
  </si>
  <si>
    <t>25.06.2025</t>
  </si>
  <si>
    <t>DMER, Mumbai</t>
  </si>
  <si>
    <t>Antiseptic and Disinfectant</t>
  </si>
  <si>
    <t>E -164</t>
  </si>
  <si>
    <t>25.06.2025
18.07.2025</t>
  </si>
  <si>
    <t>07-10-2024
09-10-2024</t>
  </si>
  <si>
    <t>Tablet Capsule</t>
  </si>
  <si>
    <t>E -177</t>
  </si>
  <si>
    <t>Consubamble</t>
  </si>
  <si>
    <t>Sachin Wankhede</t>
  </si>
  <si>
    <t>RT-129</t>
  </si>
  <si>
    <t>24.06.2025
18.07.2025</t>
  </si>
  <si>
    <t>RT - 197</t>
  </si>
  <si>
    <t>Injections Phase I</t>
  </si>
  <si>
    <t>E -170</t>
  </si>
  <si>
    <t>I V Fluid</t>
  </si>
  <si>
    <t>E -169</t>
  </si>
  <si>
    <t>Injections Phase II</t>
  </si>
  <si>
    <t>E -171</t>
  </si>
  <si>
    <t>25.06.2025
26.06.2025</t>
  </si>
  <si>
    <t>Liquid Orals</t>
  </si>
  <si>
    <t>E -172</t>
  </si>
  <si>
    <t>03.01.2025
25.06.2025
30.04.2025
18.07.2025</t>
  </si>
  <si>
    <t>09-10-2024
05-09-2023</t>
  </si>
  <si>
    <t>Dental Medicine and Material</t>
  </si>
  <si>
    <t>E - 165</t>
  </si>
  <si>
    <t>24.07.2025</t>
  </si>
  <si>
    <t>Surgical Drug</t>
  </si>
  <si>
    <t>E -174</t>
  </si>
  <si>
    <t>24.07.2025
30.07.2025</t>
  </si>
  <si>
    <t>Surgical Dressing Material</t>
  </si>
  <si>
    <t>E -173</t>
  </si>
  <si>
    <t>24.07.2025
31.07.2025
22.08.2025</t>
  </si>
  <si>
    <t>Metformin Tab 500 mg
Syp Paracetamol 60 mg</t>
  </si>
  <si>
    <t>2,61,53,536</t>
  </si>
  <si>
    <t>25-07-2025</t>
  </si>
  <si>
    <t>10.02.2025</t>
  </si>
  <si>
    <t>03.12.2024</t>
  </si>
  <si>
    <t>TB Patent-Consumbales</t>
  </si>
  <si>
    <t>1,63,34,810</t>
  </si>
  <si>
    <t>Proprietory Items</t>
  </si>
  <si>
    <t>28-07-2025</t>
  </si>
  <si>
    <t>syp azithromycin 200 mg/5ml</t>
  </si>
  <si>
    <t>12,26,497</t>
  </si>
  <si>
    <t>Rohan Patekar</t>
  </si>
  <si>
    <t>RT-88</t>
  </si>
  <si>
    <t>24-07-2025</t>
  </si>
  <si>
    <t>3,05,11,075</t>
  </si>
  <si>
    <t>29-07-2025</t>
  </si>
  <si>
    <t>13-05-2025</t>
  </si>
  <si>
    <t>JDHS mumbai</t>
  </si>
  <si>
    <t>21-04-2025</t>
  </si>
  <si>
    <t>Extended Half Life Factor VIII 500 IU/Vial</t>
  </si>
  <si>
    <t>4,49,91,135</t>
  </si>
  <si>
    <t>State Budget
 2023-24</t>
  </si>
  <si>
    <t>E-211</t>
  </si>
  <si>
    <t>30-07-2025</t>
  </si>
  <si>
    <t>29-06-2024</t>
  </si>
  <si>
    <t>Additional Director (SFWB) Pune 1</t>
  </si>
  <si>
    <t>24-06-2024</t>
  </si>
  <si>
    <t>Uterine Balloon Tamponade</t>
  </si>
  <si>
    <t>NHM PIP 2024-25</t>
  </si>
  <si>
    <t>E-181</t>
  </si>
  <si>
    <t>Public Health Departmenet</t>
  </si>
  <si>
    <t>Surgical Sutures</t>
  </si>
  <si>
    <t>E-155</t>
  </si>
  <si>
    <t>E-160</t>
  </si>
  <si>
    <t>I V Fluids</t>
  </si>
  <si>
    <t>E-161</t>
  </si>
  <si>
    <t>Surgical Non drug</t>
  </si>
  <si>
    <t>E-162</t>
  </si>
  <si>
    <t>24-03-2023</t>
  </si>
  <si>
    <t>1398 to 1410</t>
  </si>
  <si>
    <t>NCD Medicines &amp; Consumables</t>
  </si>
  <si>
    <t>Ajit Gaikwad</t>
  </si>
  <si>
    <t>E-20</t>
  </si>
  <si>
    <t>22-09-2023</t>
  </si>
  <si>
    <t>Hepatitis B Vaccine</t>
  </si>
  <si>
    <t>RT-17</t>
  </si>
  <si>
    <t>09-10-2024
05-09-2023
14-02-2024</t>
  </si>
  <si>
    <t>Surgical Non Drug</t>
  </si>
  <si>
    <t>E -175</t>
  </si>
  <si>
    <t>22-08-2025</t>
  </si>
  <si>
    <t>15-02-2024</t>
  </si>
  <si>
    <t>JDHS (Proc- Cell) Mumbai</t>
  </si>
  <si>
    <t>Medicines IV</t>
  </si>
  <si>
    <t>87,96,450</t>
  </si>
  <si>
    <t xml:space="preserve"> E-45</t>
  </si>
  <si>
    <t>Injections</t>
  </si>
  <si>
    <t>E-63</t>
  </si>
  <si>
    <t>E-64</t>
  </si>
  <si>
    <t>Ringer Lactate inj IV 500ml</t>
  </si>
  <si>
    <t>3,40,20,000</t>
  </si>
  <si>
    <t>E-65</t>
  </si>
  <si>
    <t>Anti Rabies Vaccine ID (Human Tissue culture) 0.5ml</t>
  </si>
  <si>
    <t>9,24,00,000</t>
  </si>
  <si>
    <t>E-59</t>
  </si>
  <si>
    <t>22-08-2026</t>
  </si>
  <si>
    <t>Not Delivered</t>
  </si>
  <si>
    <t>Rabies Human Monoclonal Antibody (r-DNA orogin) 100 IU/2.5ml</t>
  </si>
  <si>
    <t>86,26,950</t>
  </si>
  <si>
    <t xml:space="preserve">E-60 </t>
  </si>
  <si>
    <t>22-08-2027</t>
  </si>
  <si>
    <t xml:space="preserve">Protease Based Enzymatic Cleaner 1 ltr &amp; Benzalkonium Chloride IP 500ml </t>
  </si>
  <si>
    <t>E-61</t>
  </si>
  <si>
    <t>22-08-2028</t>
  </si>
  <si>
    <t>Polymeric Biguanide Hydrochloride Solution</t>
  </si>
  <si>
    <t>2,37,54,440</t>
  </si>
  <si>
    <t>RT-62</t>
  </si>
  <si>
    <t>22-08-2029</t>
  </si>
  <si>
    <t>Cyanocobalamine Inj. 1000mcg/ml 10 ml Vial</t>
  </si>
  <si>
    <t>64,79,000</t>
  </si>
  <si>
    <t>E-43</t>
  </si>
  <si>
    <t>22-08-2030</t>
  </si>
  <si>
    <t>11,45,65,157</t>
  </si>
  <si>
    <t>Injection  Phase II</t>
  </si>
  <si>
    <t>7,50,31,351</t>
  </si>
  <si>
    <t>E-158</t>
  </si>
  <si>
    <t>Injection Phase I</t>
  </si>
  <si>
    <t>E-157</t>
  </si>
  <si>
    <t>Surgical Suture and Stapler</t>
  </si>
  <si>
    <t>E -176</t>
  </si>
  <si>
    <t>23-06-2024</t>
  </si>
  <si>
    <t>Public Health</t>
  </si>
  <si>
    <t>JDHS(Technical)
NHM Mumbai</t>
  </si>
  <si>
    <t>23-02-2024</t>
  </si>
  <si>
    <t>1492 to 1501</t>
  </si>
  <si>
    <t>Injectables Phase II</t>
  </si>
  <si>
    <t>NHM PIP(2023-24)
+
15 Finance</t>
  </si>
  <si>
    <t>Rohan patekar</t>
  </si>
  <si>
    <t>E-205</t>
  </si>
  <si>
    <t>JDHS(Technical)</t>
  </si>
  <si>
    <t>1503 to 1532</t>
  </si>
  <si>
    <t>Tablets Capsule Phase III</t>
  </si>
  <si>
    <t>E-206</t>
  </si>
  <si>
    <t>1533 to 1560</t>
  </si>
  <si>
    <t>Tablets Capsule Phase II</t>
  </si>
  <si>
    <t>E-204</t>
  </si>
  <si>
    <t>24-09-2025</t>
  </si>
  <si>
    <t>19-06-2025</t>
  </si>
  <si>
    <t>HBPCL Reserved Items</t>
  </si>
  <si>
    <t>37,82,244</t>
  </si>
  <si>
    <t>State Budget 2025-26</t>
  </si>
  <si>
    <t>Diagnostic Kits Phase-I</t>
  </si>
  <si>
    <t>E-166</t>
  </si>
  <si>
    <t>5-09-2023, 14-02-2024, 15-02-2024,
09-10-24,
07-10-24.</t>
  </si>
  <si>
    <t xml:space="preserve">Consumables for MSME reserved manufacturers </t>
  </si>
  <si>
    <t>E-94</t>
  </si>
  <si>
    <t>27-10-2025</t>
  </si>
  <si>
    <t>61,34,960</t>
  </si>
  <si>
    <t>29-10-2025</t>
  </si>
  <si>
    <t>1654 to 1663</t>
  </si>
  <si>
    <t>1,65,24,945</t>
  </si>
  <si>
    <t>Consumables</t>
  </si>
  <si>
    <t>17,48,538</t>
  </si>
  <si>
    <t xml:space="preserve"> E-58</t>
  </si>
  <si>
    <t>30-10-2025</t>
  </si>
  <si>
    <t>1669-</t>
  </si>
  <si>
    <t>Hospital Consumables
(Bunch Bid)</t>
  </si>
  <si>
    <t>15 Finance</t>
  </si>
  <si>
    <t>11,19,00,411</t>
  </si>
  <si>
    <t>RT-147</t>
  </si>
  <si>
    <t>28-01-2025</t>
  </si>
  <si>
    <t xml:space="preserve">JDHS (Technical) NHM Mumbai </t>
  </si>
  <si>
    <t>13-09-2024</t>
  </si>
  <si>
    <t>Salt Testing Kit</t>
  </si>
  <si>
    <t>23,92,137</t>
  </si>
  <si>
    <t>E-203</t>
  </si>
  <si>
    <t>1719 to 1722</t>
  </si>
  <si>
    <t xml:space="preserve">Tablet Cap </t>
  </si>
  <si>
    <t>1736 to 1747</t>
  </si>
  <si>
    <t>Oral, Liquid, Syrup</t>
  </si>
  <si>
    <t>E-207</t>
  </si>
  <si>
    <t>1748-1751</t>
  </si>
  <si>
    <t>13,20,34,919</t>
  </si>
  <si>
    <t>Miscellaneous Medicine</t>
  </si>
  <si>
    <t>State Budget
 DMER  2024-25</t>
  </si>
  <si>
    <t>RT-213</t>
  </si>
  <si>
    <t>04-11.2025</t>
  </si>
  <si>
    <t>1755-1773</t>
  </si>
  <si>
    <t xml:space="preserve">Lab Material </t>
  </si>
  <si>
    <t>1,15,42,400</t>
  </si>
  <si>
    <t>E-167</t>
  </si>
  <si>
    <t>19-11-2025</t>
  </si>
  <si>
    <t>Bandage Cloth as per Schedule F-II than   100 cm x 20 mtr</t>
  </si>
  <si>
    <t>Mehru Mehta Apangodhar Audyogik Society Ltd., Reserved Item</t>
  </si>
  <si>
    <t>21-11-2025</t>
  </si>
  <si>
    <t>Rolled cotton Bandage as per Schedule F-II 10 cm x 4 Mtr  Roll</t>
  </si>
  <si>
    <t>Rolled cotton Bandage as per Schedule F-II 15 cm x 4 Mtr Roll</t>
  </si>
  <si>
    <t>177-1778</t>
  </si>
  <si>
    <t>HBT</t>
  </si>
  <si>
    <t>24-11-2025</t>
  </si>
  <si>
    <t xml:space="preserve">Liquid Iron Folic 
Acid 200ml </t>
  </si>
  <si>
    <t>3,43,13,797</t>
  </si>
  <si>
    <t xml:space="preserve"> E-42</t>
  </si>
  <si>
    <t>18.08.2025</t>
  </si>
  <si>
    <t>Comm. HS &amp; Mission Director NHM</t>
  </si>
  <si>
    <t>J NHM Mumbai</t>
  </si>
  <si>
    <t>04.08.2025</t>
  </si>
  <si>
    <t>1791-1794</t>
  </si>
  <si>
    <t>Anti Hemophilic Factors</t>
  </si>
  <si>
    <t>19,63,91,852.4</t>
  </si>
  <si>
    <t>NHM PIP 2025-26 PIP Sr. No. 156</t>
  </si>
  <si>
    <t>20,00,00,000</t>
  </si>
  <si>
    <t>E-09, E-10,E-11,E-16</t>
  </si>
  <si>
    <t>05.12.2025</t>
  </si>
  <si>
    <t>1795-1796</t>
  </si>
  <si>
    <t>HAPL Reserved</t>
  </si>
  <si>
    <t xml:space="preserve">JDHS (Tech) Mumbai </t>
  </si>
  <si>
    <t xml:space="preserve">Consumable </t>
  </si>
  <si>
    <t>2,18,45,320</t>
  </si>
  <si>
    <t>RT-151</t>
  </si>
  <si>
    <t>19-12-2025</t>
  </si>
  <si>
    <t>1808 to 1813</t>
  </si>
  <si>
    <t>12.02.2026</t>
  </si>
  <si>
    <t>13.08.2025</t>
  </si>
  <si>
    <t>11.08.2025</t>
  </si>
  <si>
    <t>1814 to 1829</t>
  </si>
  <si>
    <t>State Budget (2025-26)</t>
  </si>
  <si>
    <t>17.02.2026</t>
  </si>
  <si>
    <t>29-08-2025</t>
  </si>
  <si>
    <t xml:space="preserve"> 1850 to 1855</t>
  </si>
  <si>
    <t xml:space="preserve">Surgical Instrument </t>
  </si>
  <si>
    <t>11,22,33,032</t>
  </si>
  <si>
    <t xml:space="preserve"> Aarti &amp; Vaishnvi </t>
  </si>
  <si>
    <t>E-220</t>
  </si>
  <si>
    <t>26.02.2026</t>
  </si>
  <si>
    <t xml:space="preserve">1856- 1884, </t>
  </si>
  <si>
    <t>Essential Medicines</t>
  </si>
  <si>
    <t>E-215</t>
  </si>
  <si>
    <t>20.02.2026</t>
  </si>
  <si>
    <t>27.02.2026</t>
  </si>
  <si>
    <t>1885-1893</t>
  </si>
  <si>
    <t>05.03.2026</t>
  </si>
  <si>
    <t>1895-1908</t>
  </si>
  <si>
    <t>11.03.2026</t>
  </si>
  <si>
    <t>DMER, Mumbai
(ESIC)</t>
  </si>
  <si>
    <t>0624/280
Revised AA</t>
  </si>
  <si>
    <t>1909 - 1939</t>
  </si>
  <si>
    <t>64,08,53,655</t>
  </si>
  <si>
    <t>State Budget 2023-24 + Supplimentary Budget</t>
  </si>
  <si>
    <r>
      <rPr>
        <sz val="9"/>
        <color rgb="FF000000"/>
        <rFont val="Times New Roman"/>
        <family val="1"/>
      </rPr>
      <t>Commissioner (DMER) Mumbai</t>
    </r>
  </si>
  <si>
    <r>
      <rPr>
        <sz val="9"/>
        <color rgb="FF000000"/>
        <rFont val="Times New Roman"/>
        <family val="1"/>
      </rPr>
      <t>State Budget 2023-24</t>
    </r>
  </si>
  <si>
    <t>(All)</t>
  </si>
  <si>
    <t>Row Labels</t>
  </si>
  <si>
    <t>(blank)</t>
  </si>
  <si>
    <t>Grand Total</t>
  </si>
  <si>
    <t>Sum of Amount Received against Proposal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</si>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</sst>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-dd\-yyyy"/>
    <numFmt numFmtId="165" formatCode="[&gt;9999999]##\,##\,##\,##0;[&gt;99999]##\,##\,##0;##,##0"/>
    <numFmt numFmtId="166" formatCode="m\-d\-yyyy"/>
  </numFmts>
  <fonts count="9" x14ac:knownFonts="1">
    <font>
      <sz val="11"/>
      <color theme="1"/>
      <name val="Calibri"/>
      <family val="2"/>
      <scheme val="minor"/>
    </font>
    <font>
      <b/>
      <sz val="9"/>
      <color rgb="FF000000"/>
      <name val="Times New Roman"/>
      <family val="1"/>
    </font>
    <font>
      <sz val="9"/>
      <color rgb="FF000000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Calibri"/>
      <family val="2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</font>
    <font>
      <b/>
      <sz val="8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4" fontId="1" fillId="5" borderId="1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wrapText="1"/>
    </xf>
    <xf numFmtId="165" fontId="3" fillId="3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166" fontId="2" fillId="3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wrapText="1"/>
    </xf>
    <xf numFmtId="164" fontId="3" fillId="6" borderId="1" xfId="0" applyNumberFormat="1" applyFont="1" applyFill="1" applyBorder="1" applyAlignment="1">
      <alignment horizontal="center" wrapText="1"/>
    </xf>
    <xf numFmtId="164" fontId="3" fillId="5" borderId="1" xfId="0" applyNumberFormat="1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 vertical="center" wrapText="1"/>
    </xf>
    <xf numFmtId="164" fontId="2" fillId="6" borderId="1" xfId="0" applyNumberFormat="1" applyFont="1" applyFill="1" applyBorder="1" applyAlignment="1">
      <alignment horizontal="center" vertical="center" wrapText="1"/>
    </xf>
    <xf numFmtId="166" fontId="2" fillId="0" borderId="1" xfId="0" applyNumberFormat="1" applyFont="1" applyBorder="1" applyAlignment="1">
      <alignment horizontal="center" vertical="center" wrapText="1"/>
    </xf>
    <xf numFmtId="166" fontId="2" fillId="5" borderId="1" xfId="0" applyNumberFormat="1" applyFont="1" applyFill="1" applyBorder="1" applyAlignment="1">
      <alignment horizontal="center" vertical="center" wrapText="1"/>
    </xf>
    <xf numFmtId="164" fontId="2" fillId="5" borderId="1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164" fontId="3" fillId="5" borderId="1" xfId="0" applyNumberFormat="1" applyFont="1" applyFill="1" applyBorder="1" applyAlignment="1">
      <alignment horizontal="center" vertical="center" wrapText="1"/>
    </xf>
    <xf numFmtId="164" fontId="3" fillId="6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164" fontId="1" fillId="6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166" fontId="3" fillId="6" borderId="1" xfId="0" applyNumberFormat="1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165" fontId="3" fillId="0" borderId="1" xfId="0" applyNumberFormat="1" applyFont="1" applyBorder="1" applyAlignment="1">
      <alignment horizontal="center" wrapText="1"/>
    </xf>
    <xf numFmtId="1" fontId="3" fillId="5" borderId="1" xfId="0" applyNumberFormat="1" applyFont="1" applyFill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166" fontId="3" fillId="5" borderId="1" xfId="0" applyNumberFormat="1" applyFont="1" applyFill="1" applyBorder="1" applyAlignment="1">
      <alignment horizontal="center" wrapText="1"/>
    </xf>
    <xf numFmtId="1" fontId="1" fillId="5" borderId="1" xfId="0" applyNumberFormat="1" applyFont="1" applyFill="1" applyBorder="1" applyAlignment="1">
      <alignment horizontal="center" vertical="center" wrapText="1"/>
    </xf>
    <xf numFmtId="1" fontId="3" fillId="5" borderId="1" xfId="0" applyNumberFormat="1" applyFont="1" applyFill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14" fontId="2" fillId="3" borderId="1" xfId="0" applyNumberFormat="1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wrapText="1"/>
    </xf>
    <xf numFmtId="165" fontId="3" fillId="5" borderId="1" xfId="0" applyNumberFormat="1" applyFont="1" applyFill="1" applyBorder="1" applyAlignment="1">
      <alignment horizontal="center" vertical="center" wrapText="1"/>
    </xf>
    <xf numFmtId="165" fontId="5" fillId="5" borderId="1" xfId="0" applyNumberFormat="1" applyFont="1" applyFill="1" applyBorder="1" applyAlignment="1">
      <alignment horizontal="center" vertical="center" wrapText="1"/>
    </xf>
    <xf numFmtId="1" fontId="5" fillId="5" borderId="1" xfId="0" applyNumberFormat="1" applyFont="1" applyFill="1" applyBorder="1" applyAlignment="1">
      <alignment horizontal="center" vertical="center" wrapText="1"/>
    </xf>
    <xf numFmtId="165" fontId="3" fillId="5" borderId="1" xfId="0" applyNumberFormat="1" applyFont="1" applyFill="1" applyBorder="1" applyAlignment="1">
      <alignment horizontal="center" wrapText="1"/>
    </xf>
    <xf numFmtId="1" fontId="3" fillId="0" borderId="1" xfId="0" applyNumberFormat="1" applyFont="1" applyBorder="1" applyAlignment="1">
      <alignment horizontal="center" vertical="center" wrapText="1"/>
    </xf>
    <xf numFmtId="14" fontId="3" fillId="5" borderId="1" xfId="0" applyNumberFormat="1" applyFont="1" applyFill="1" applyBorder="1" applyAlignment="1">
      <alignment horizontal="center" vertical="center" wrapText="1"/>
    </xf>
    <xf numFmtId="14" fontId="3" fillId="5" borderId="1" xfId="0" applyNumberFormat="1" applyFont="1" applyFill="1" applyBorder="1" applyAlignment="1">
      <alignment horizontal="center" wrapText="1"/>
    </xf>
    <xf numFmtId="1" fontId="5" fillId="5" borderId="1" xfId="0" applyNumberFormat="1" applyFont="1" applyFill="1" applyBorder="1" applyAlignment="1">
      <alignment horizontal="center" wrapText="1"/>
    </xf>
    <xf numFmtId="14" fontId="3" fillId="6" borderId="1" xfId="0" applyNumberFormat="1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wrapText="1"/>
    </xf>
    <xf numFmtId="166" fontId="2" fillId="6" borderId="1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righ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top" wrapText="1"/>
    </xf>
    <xf numFmtId="0" fontId="8" fillId="2" borderId="1" xfId="0" applyFont="1" applyFill="1" applyBorder="1" applyAlignment="1">
      <alignment horizontal="center" vertical="top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wivedi, Vivek" refreshedDate="46113.462064120373" createdVersion="8" refreshedVersion="8" minRefreshableVersion="3" recordCount="176" xr:uid="{995A5E18-79C7-4EAC-9248-2FFF29C26870}">
  <cacheSource type="worksheet">
    <worksheetSource ref="A1:R177" sheet="Sheet1"/>
  </cacheSource>
  <cacheFields count="18">
    <cacheField name="Sr- No-" numFmtId="0">
      <sharedItems containsSemiMixedTypes="0" containsString="0" containsNumber="1" containsInteger="1" minValue="1" maxValue="176"/>
    </cacheField>
    <cacheField name="Year" numFmtId="0">
      <sharedItems containsBlank="1" count="4">
        <s v="2023-24"/>
        <s v="2024-25"/>
        <m/>
        <s v="2025-26"/>
      </sharedItems>
    </cacheField>
    <cacheField name="Date of Proposal Received" numFmtId="0">
      <sharedItems containsDate="1" containsBlank="1" containsMixedTypes="1" minDate="2023-01-08T00:00:00" maxDate="2025-12-04T00:00:00"/>
    </cacheField>
    <cacheField name="Received From - Department" numFmtId="0">
      <sharedItems/>
    </cacheField>
    <cacheField name="Name of Bureau" numFmtId="0">
      <sharedItems/>
    </cacheField>
    <cacheField name="Administrative Approval GR Date" numFmtId="0">
      <sharedItems containsDate="1" containsMixedTypes="1" minDate="2023-01-11T00:00:00" maxDate="2024-12-03T00:00:00"/>
    </cacheField>
    <cacheField name="Total Number of Items / P-O-" numFmtId="0">
      <sharedItems containsSemiMixedTypes="0" containsString="0" containsNumber="1" containsInteger="1" minValue="1" maxValue="74"/>
    </cacheField>
    <cacheField name="PO Number" numFmtId="0">
      <sharedItems containsBlank="1" containsMixedTypes="1" containsNumber="1" containsInteger="1" minValue="1774" maxValue="1798"/>
    </cacheField>
    <cacheField name="Name of Item" numFmtId="0">
      <sharedItems containsMixedTypes="1" containsNumber="1" containsInteger="1" minValue="116072692" maxValue="116072692"/>
    </cacheField>
    <cacheField name="Total Amount of Purchase Order(s)" numFmtId="0">
      <sharedItems containsMixedTypes="1" containsNumber="1" minValue="317934" maxValue="677300000"/>
    </cacheField>
    <cacheField name="Budget Source" numFmtId="0">
      <sharedItems containsBlank="1"/>
    </cacheField>
    <cacheField name="Amount Received against Proposal" numFmtId="0">
      <sharedItems containsBlank="1" containsMixedTypes="1" containsNumber="1" containsInteger="1" minValue="317934" maxValue="677300000"/>
    </cacheField>
    <cacheField name=" Pharmacy Officer" numFmtId="0">
      <sharedItems containsBlank="1"/>
    </cacheField>
    <cacheField name="Tender Number" numFmtId="0">
      <sharedItems containsBlank="1" count="126">
        <s v="Direct Purchase"/>
        <s v="Direct Purchase - Handloom Corpo-"/>
        <s v="Direct Purcase on ESIC RC"/>
        <s v=" ESIC RC + MMGPA Tender (RC)"/>
        <s v="E-Tender"/>
        <s v="E- 01 to E-05 &amp; E- 25"/>
        <s v="E-21 (GeM)"/>
        <s v="E-53"/>
        <s v="Direct purchase on HBPCL"/>
        <s v="E-19"/>
        <s v="E-18"/>
        <s v="E-32"/>
        <s v="E -19"/>
        <s v="E - 51 "/>
        <s v="E-50"/>
        <s v=" E-56"/>
        <s v="E-49"/>
        <s v="E-54"/>
        <s v="E-100"/>
        <s v=" E-55"/>
        <s v="E-41"/>
        <s v="E-87"/>
        <s v="E - 37"/>
        <s v="E- 86 "/>
        <s v="E-14"/>
        <s v="E-102"/>
        <s v="E-123"/>
        <s v="E-43, E-59, E-60, E-61, RT-62, E-42"/>
        <s v="RT-35"/>
        <s v="E-125"/>
        <s v="E- 38 "/>
        <s v="E-09 (Rate Contract)"/>
        <s v="E-12 (Rate Contract)"/>
        <s v="Repeat Order (E-18)"/>
        <m/>
        <s v="E-47 "/>
        <s v="E-136"/>
        <s v="E-116"/>
        <s v="E-34"/>
        <s v="E-36"/>
        <s v="E- 120"/>
        <s v="E-121 "/>
        <s v="E-122"/>
        <s v="E-127"/>
        <s v="E-129"/>
        <s v="E-40 "/>
        <s v="E-124 "/>
        <s v="RRT-46"/>
        <s v="E-101 "/>
        <s v="RT-138"/>
        <s v="E- 88"/>
        <s v="E-95"/>
        <s v="E-128"/>
        <s v="RT - 87"/>
        <s v="E-48"/>
        <s v="E-126"/>
        <s v="E-10 (Rate Contract )"/>
        <s v="E-11 (Rate Contract )"/>
        <s v="E-15 (Rate Contract )"/>
        <s v="E-16 (Rate Contract )"/>
        <s v="E-148"/>
        <s v="E-150"/>
        <s v="E-159"/>
        <s v="RT-183"/>
        <s v="RT-95"/>
        <s v="E-09_x000a_(Rate Contract)"/>
        <s v="E-85 "/>
        <s v="E-12_x000a_(Rate Contract)"/>
        <s v="E-156"/>
        <s v="HBPCL Reserved item"/>
        <s v="E-149_x000a_"/>
        <s v="E -164"/>
        <s v="E -177"/>
        <s v="RT-129"/>
        <s v="RT - 197"/>
        <s v="E -170"/>
        <s v="E -169"/>
        <s v="E -171"/>
        <s v="E -172"/>
        <s v="E - 165"/>
        <s v="E -174"/>
        <s v="E -173"/>
        <s v="Proprietory Items"/>
        <s v="RT-88"/>
        <s v="E-211"/>
        <s v="E-181"/>
        <s v="E-155"/>
        <s v="E-160"/>
        <s v="E-161"/>
        <s v="E-162"/>
        <s v="E-20"/>
        <s v="RT-17"/>
        <s v="E -175"/>
        <s v=" E-45"/>
        <s v="E-63"/>
        <s v="E-64"/>
        <s v="E-65"/>
        <s v="E-59"/>
        <s v="E-60 "/>
        <s v="E-61"/>
        <s v="RT-62"/>
        <s v="E-43"/>
        <s v="E-158"/>
        <s v="E-157"/>
        <s v="E -176"/>
        <s v="E-205"/>
        <s v="E-206"/>
        <s v="E-204"/>
        <s v="E-166"/>
        <s v="E-94"/>
        <s v=" E-58"/>
        <s v="RT-147"/>
        <s v="E-203"/>
        <s v="E-207"/>
        <s v="HBPCL Reserved Items"/>
        <s v="RT-213"/>
        <s v="E-167"/>
        <s v="Mehru Mehta Apangodhar Audyogik Society Ltd., Reserved Item"/>
        <s v="HBT"/>
        <s v=" E-42"/>
        <s v="E-09, E-10,E-11,E-16"/>
        <s v="HAPL Reserved"/>
        <s v="RT-151"/>
        <s v="E-220"/>
        <s v="E-215"/>
        <s v="DMER, Mumbai_x000a_(ESIC)"/>
      </sharedItems>
    </cacheField>
    <cacheField name="Remarks / Current Status of File" numFmtId="0">
      <sharedItems/>
    </cacheField>
    <cacheField name="Date of Purchase Order(s)" numFmtId="0">
      <sharedItems containsDate="1" containsBlank="1" containsMixedTypes="1" minDate="2023-07-10T00:00:00" maxDate="2025-11-13T00:00:00"/>
    </cacheField>
    <cacheField name="Bill_x000a_submitted_x000a_YES/NO" numFmtId="0">
      <sharedItems containsBlank="1"/>
    </cacheField>
    <cacheField name="Delivery Status (Yes/No/Partial Supply)" numFmtId="0">
      <sharedItems containsBlank="1" count="4">
        <s v="Delivered"/>
        <s v="Partially Delivered"/>
        <m/>
        <s v="Not Deliver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6">
  <r>
    <n v="1"/>
    <x v="0"/>
    <d v="2023-04-09T00:00:00"/>
    <s v="Public Health Department"/>
    <s v="(TB, BCG) Pune 6"/>
    <s v="14-08-2023"/>
    <n v="3"/>
    <m/>
    <s v="Proprietary Items- TB Consumables "/>
    <n v="4833100"/>
    <s v="NHM PIP 2023-24"/>
    <n v="4833100"/>
    <m/>
    <x v="0"/>
    <s v="Orders Issued-"/>
    <s v="31-10-2023"/>
    <s v="yes"/>
    <x v="0"/>
  </r>
  <r>
    <n v="2"/>
    <x v="0"/>
    <s v="21-09-2023"/>
    <s v="Public Health Department"/>
    <s v="(TB, BCG) Pune 6"/>
    <s v="24-08-2023"/>
    <n v="1"/>
    <m/>
    <s v="Proprietary Items-  Truenaat Chips "/>
    <n v="251559450"/>
    <s v="NHM PIP 2023-24"/>
    <n v="407600000"/>
    <m/>
    <x v="0"/>
    <s v="Order Issued-"/>
    <s v="27-10-2023"/>
    <s v="yes"/>
    <x v="0"/>
  </r>
  <r>
    <n v="3"/>
    <x v="0"/>
    <s v="21-09-2023"/>
    <s v="Public Health Department"/>
    <s v="(TB, BCG) Pune 6"/>
    <s v="24-08-2023"/>
    <n v="1"/>
    <m/>
    <s v="Proprietary Items-  CBNaat Cartridges"/>
    <n v="156039760.79999998"/>
    <s v="NHM PIP 2023-24"/>
    <m/>
    <m/>
    <x v="0"/>
    <s v="Order Issued-"/>
    <s v="27-10-2023"/>
    <s v="yes"/>
    <x v="0"/>
  </r>
  <r>
    <n v="4"/>
    <x v="0"/>
    <s v="25-09-2023"/>
    <s v="Public Health Department"/>
    <s v="Addl- Director (Mental Health) Mumbai "/>
    <d v="2023-12-09T00:00:00"/>
    <n v="11"/>
    <m/>
    <s v="Linen for 4 Regional Mental Hospital"/>
    <n v="15515784"/>
    <s v="State Budget    2210 0217"/>
    <n v="10253000"/>
    <m/>
    <x v="1"/>
    <s v="Orders Issued-"/>
    <s v="22-11-2023"/>
    <s v="yes"/>
    <x v="1"/>
  </r>
  <r>
    <n v="5"/>
    <x v="0"/>
    <d v="2023-06-10T00:00:00"/>
    <s v="Public Health Department"/>
    <s v="JDHS (Proc- Cell) Mumbai "/>
    <d v="2023-06-10T00:00:00"/>
    <n v="27"/>
    <m/>
    <s v="Emergency Medicines (20%)"/>
    <n v="109357429"/>
    <s v="NHM PIP 2023-25"/>
    <n v="109357429"/>
    <m/>
    <x v="2"/>
    <s v="Orders Issued-"/>
    <d v="2023-07-10T00:00:00"/>
    <s v="yes"/>
    <x v="1"/>
  </r>
  <r>
    <n v="6"/>
    <x v="0"/>
    <d v="2023-06-10T00:00:00"/>
    <s v="Public Health Department"/>
    <s v="JDHS (Technical) Mumbai"/>
    <d v="2023-08-09T00:00:00"/>
    <n v="7"/>
    <m/>
    <s v="All Hemophillia Factor (Different Varient)"/>
    <n v="405976933"/>
    <s v="NHM PIP 2023-24"/>
    <n v="405976933"/>
    <m/>
    <x v="3"/>
    <s v="Order Issued-"/>
    <s v="27-10-2023 &amp; 31-01-2023 &amp; 14-02-2024 &amp; 06-03-2024 "/>
    <s v="yes"/>
    <x v="1"/>
  </r>
  <r>
    <n v="7"/>
    <x v="0"/>
    <d v="2023-09-10T00:00:00"/>
    <s v="Public Health Department"/>
    <s v="JDHS (TB, BCG) Pune"/>
    <d v="2024-12-02T00:00:00"/>
    <n v="2"/>
    <m/>
    <s v="Emergency Medicines"/>
    <n v="96184323"/>
    <s v="NHM PIP 2023-24"/>
    <n v="96184323"/>
    <m/>
    <x v="2"/>
    <s v="Orders issued- "/>
    <s v="31-10-2023"/>
    <s v="yes"/>
    <x v="0"/>
  </r>
  <r>
    <n v="8"/>
    <x v="0"/>
    <d v="2023-09-10T00:00:00"/>
    <s v="Public Health Department"/>
    <s v="Addl- Director (Mental Health) Mumbai "/>
    <d v="2023-12-09T00:00:00"/>
    <n v="18"/>
    <m/>
    <s v="Emergency Medicines"/>
    <n v="3973610"/>
    <s v="State Budget  2023-24"/>
    <n v="3973610"/>
    <m/>
    <x v="2"/>
    <s v="Orders Issued-"/>
    <s v="31-10-2023"/>
    <s v="yes"/>
    <x v="1"/>
  </r>
  <r>
    <n v="9"/>
    <x v="0"/>
    <s v="16-10-2023"/>
    <s v="Public Health Department"/>
    <s v="Additional Director (SFWB) Pune 1 "/>
    <s v="31-03-2023"/>
    <n v="17"/>
    <m/>
    <s v="Emergency Medicines (20%)"/>
    <n v="677300000"/>
    <s v="NHM PIP 2022-24 "/>
    <n v="677300000"/>
    <m/>
    <x v="2"/>
    <s v="Orders Issued-"/>
    <s v="31-10-2023"/>
    <s v="yes"/>
    <x v="1"/>
  </r>
  <r>
    <n v="10"/>
    <x v="0"/>
    <d v="2023-11-09T00:00:00"/>
    <s v="Medical Education &amp; Research "/>
    <s v="Director, DMER"/>
    <d v="2023-05-09T00:00:00"/>
    <n v="55"/>
    <m/>
    <s v="Emergency Medicines (20%)"/>
    <n v="67795831"/>
    <s v="State Budget  2023-24"/>
    <n v="67795831"/>
    <m/>
    <x v="2"/>
    <s v="Orders Issued-"/>
    <s v="31-10-2023"/>
    <s v="no"/>
    <x v="1"/>
  </r>
  <r>
    <n v="11"/>
    <x v="0"/>
    <s v="28-08-2023"/>
    <s v="Public Health Department"/>
    <s v="JDHS (Technical)"/>
    <d v="2023-08-09T00:00:00"/>
    <n v="2"/>
    <m/>
    <s v="Solubility Test Kit"/>
    <n v="18950400"/>
    <s v="NHM PIP 2023-24"/>
    <n v="20000000"/>
    <m/>
    <x v="4"/>
    <s v="Order Issued-"/>
    <s v="21-12-2023,     20-06-2024"/>
    <s v="yes"/>
    <x v="0"/>
  </r>
  <r>
    <n v="12"/>
    <x v="0"/>
    <d v="2023-01-08T00:00:00"/>
    <s v="Public Health Department"/>
    <s v="JDHS (WBD) Pune"/>
    <s v="28-06-2023"/>
    <n v="48"/>
    <m/>
    <n v="116072692"/>
    <n v="188945588"/>
    <s v="State Budget  2023-24"/>
    <n v="157360000"/>
    <m/>
    <x v="5"/>
    <s v="Orders Issued-"/>
    <s v="10-01-2024 &amp; 29-01-2024 &amp; 13-03-2024 &amp; 27-06-2024"/>
    <s v="Partially Delivered"/>
    <x v="0"/>
  </r>
  <r>
    <n v="13"/>
    <x v="0"/>
    <s v="30-01-2024"/>
    <s v="Public Health Department"/>
    <s v="JDHS (NCD)"/>
    <d v="2023-05-01T00:00:00"/>
    <n v="1"/>
    <m/>
    <s v="Intra Occular Lense"/>
    <n v="8916992"/>
    <s v="NHM PIP 2022-23 "/>
    <n v="8916992"/>
    <m/>
    <x v="4"/>
    <s v="Order Issued-"/>
    <s v="30-01-2024"/>
    <s v="yes"/>
    <x v="0"/>
  </r>
  <r>
    <n v="14"/>
    <x v="0"/>
    <d v="2024-09-02T00:00:00"/>
    <s v="Public Health Department"/>
    <s v="JDHS (TB, BCG) Pune"/>
    <s v="13-02-2024"/>
    <n v="1"/>
    <m/>
    <s v="Truenaat Chips"/>
    <n v="430200000"/>
    <s v="15th Finance"/>
    <n v="430200000"/>
    <m/>
    <x v="0"/>
    <s v="Order Issued-"/>
    <s v="13-02-2024"/>
    <s v="no"/>
    <x v="2"/>
  </r>
  <r>
    <n v="15"/>
    <x v="0"/>
    <d v="2024-09-02T00:00:00"/>
    <s v="Public Health Department"/>
    <s v="JDHS (TB, BCG) Pune"/>
    <s v="13-02-2024"/>
    <n v="1"/>
    <m/>
    <s v="Truenaat Machine"/>
    <n v="227584000"/>
    <s v="15th Finance"/>
    <n v="145092000"/>
    <m/>
    <x v="0"/>
    <s v="Order Issued-"/>
    <s v="13-02-2024"/>
    <s v="no"/>
    <x v="2"/>
  </r>
  <r>
    <n v="16"/>
    <x v="0"/>
    <d v="2023-08-11T00:00:00"/>
    <s v="ICDC, Navi Mumbai"/>
    <s v="Commissioner (ICDS) Navi Mumbai"/>
    <d v="2023-09-11T00:00:00"/>
    <n v="1"/>
    <m/>
    <s v="Medicine Kit for Anganwadi Kendra under ICDS"/>
    <n v="155839306"/>
    <s v="ICDS Budget     2023-24"/>
    <n v="155940750"/>
    <s v="Visave "/>
    <x v="6"/>
    <s v="Order Issued-"/>
    <s v="21-02-2024"/>
    <m/>
    <x v="0"/>
  </r>
  <r>
    <n v="17"/>
    <x v="0"/>
    <d v="2024-01-03T00:00:00"/>
    <s v="Public Health Department"/>
    <s v="JDHS (Hospital Cell) Mumbai"/>
    <d v="2024-01-03T00:00:00"/>
    <n v="1"/>
    <m/>
    <s v="3 FDC (A) DSTB CP - Adult Strip of 28 Tablets"/>
    <n v="49500000"/>
    <s v="NHM PIP 2023-24"/>
    <n v="49500000"/>
    <m/>
    <x v="7"/>
    <s v="Order Issued-"/>
    <s v="14-05-2024"/>
    <s v="yes"/>
    <x v="0"/>
  </r>
  <r>
    <n v="18"/>
    <x v="0"/>
    <d v="2023-11-09T00:00:00"/>
    <s v="Medical Education &amp; Research "/>
    <s v="Director, DMER"/>
    <d v="2023-05-09T00:00:00"/>
    <n v="8"/>
    <m/>
    <s v="Medicines (Haffkine Reserved Items)"/>
    <n v="58004454"/>
    <s v="State Budget  2023-24"/>
    <n v="58004454"/>
    <s v="Sachin Wankhede"/>
    <x v="8"/>
    <s v="Orders Issued-"/>
    <s v="12-01-2024,   16-05-2024"/>
    <m/>
    <x v="1"/>
  </r>
  <r>
    <n v="19"/>
    <x v="0"/>
    <d v="2023-11-09T00:00:00"/>
    <s v="Medical Education &amp; Research "/>
    <s v="Director, DMER"/>
    <d v="2023-05-09T00:00:00"/>
    <n v="1"/>
    <m/>
    <s v="Consumables reserved for Leprosy Handicapped Persons Society Pune"/>
    <n v="729960"/>
    <s v="State Budget  2023-24"/>
    <n v="729960"/>
    <s v="Sachin Wankhede"/>
    <x v="8"/>
    <s v="Orders Issued-"/>
    <s v="14-05-2024"/>
    <m/>
    <x v="0"/>
  </r>
  <r>
    <n v="20"/>
    <x v="0"/>
    <d v="2024-08-02T00:00:00"/>
    <s v="Public Health Department"/>
    <s v="JDHS (Hospital Cell) Mumbai"/>
    <s v="27-12-2023"/>
    <n v="7"/>
    <m/>
    <s v="Medicines"/>
    <n v="75560592"/>
    <s v="State Budget 2023-24"/>
    <n v="75560592"/>
    <s v="Roshan"/>
    <x v="8"/>
    <s v="Orders Issued-"/>
    <s v="28-05-2024"/>
    <m/>
    <x v="1"/>
  </r>
  <r>
    <n v="21"/>
    <x v="0"/>
    <s v="25-09-2023"/>
    <s v="Public Health Department"/>
    <s v="Addl- Director (Mental Health) Mumbai "/>
    <d v="2023-12-09T00:00:00"/>
    <n v="28"/>
    <m/>
    <s v="Psychiatric Medicines"/>
    <n v="12507146"/>
    <s v="State Budget    2210 0291"/>
    <n v="12507146"/>
    <s v="sameer shaikh"/>
    <x v="9"/>
    <s v="Orders Issued-"/>
    <d v="2024-06-06T00:00:00"/>
    <m/>
    <x v="0"/>
  </r>
  <r>
    <n v="22"/>
    <x v="0"/>
    <d v="2023-11-09T00:00:00"/>
    <s v="Medical Education &amp; Research "/>
    <s v="Commissioner (DMER) Mumbai"/>
    <d v="2023-05-09T00:00:00"/>
    <n v="74"/>
    <m/>
    <s v="Medicines, Consumables &amp; Other Surgical items"/>
    <n v="232711596"/>
    <s v="State Budget  2023-24"/>
    <n v="282665858"/>
    <s v="Visave "/>
    <x v="10"/>
    <s v="Orders Issued-"/>
    <s v="31-05-2024,        07-06-2024, 26-06-2024,      16-07-2024,    22-08-2024_x000a_12-03-2025"/>
    <m/>
    <x v="0"/>
  </r>
  <r>
    <n v="23"/>
    <x v="0"/>
    <d v="2024-08-02T00:00:00"/>
    <s v="Public Health Department"/>
    <s v="JDHS (Hospital Cell) Mumbai"/>
    <s v="27-12-2023"/>
    <n v="7"/>
    <m/>
    <s v="Reserved medicines HBPCL Reserved Items "/>
    <n v="75560592"/>
    <s v="State Budget 2023-24"/>
    <n v="75560592"/>
    <m/>
    <x v="8"/>
    <s v="Orders Issued-"/>
    <s v="28-05-2024"/>
    <m/>
    <x v="1"/>
  </r>
  <r>
    <n v="24"/>
    <x v="0"/>
    <s v="29-11-2023"/>
    <s v="Public Health Department"/>
    <s v="JDHS (Technical) Mumbai"/>
    <d v="2023-01-11T00:00:00"/>
    <n v="1"/>
    <m/>
    <s v="Point of Care Sickle cell Test Kit (Rapid Test Kit)"/>
    <n v="5866652"/>
    <s v="NHM PIP 2023-24 "/>
    <n v="5866652"/>
    <m/>
    <x v="11"/>
    <s v="Order Issued-"/>
    <m/>
    <m/>
    <x v="0"/>
  </r>
  <r>
    <n v="25"/>
    <x v="0"/>
    <s v="23-08-2023"/>
    <s v="Public Health Department"/>
    <s v="Additional Director (Mental Health) "/>
    <s v="19-08-2023"/>
    <n v="5"/>
    <m/>
    <s v="Psychiatric Medicines"/>
    <n v="10663128"/>
    <s v="NHM PIP                  2023-24"/>
    <n v="10663128"/>
    <s v="sameer shaikh"/>
    <x v="12"/>
    <s v="Orders Issued-"/>
    <s v="20-06-2024"/>
    <m/>
    <x v="0"/>
  </r>
  <r>
    <n v="26"/>
    <x v="0"/>
    <s v="21-02-2024"/>
    <s v="Public Health Department"/>
    <s v="JDHS (Technical) Mumbai"/>
    <d v="2024-06-02T00:00:00"/>
    <n v="1"/>
    <m/>
    <s v="Inj- Hepaititis B Immunoglobulin (HBIG) 100 IU/ Dose of 0-5ml or 1ml"/>
    <n v="14950949"/>
    <s v="NHM PIP 2023-24"/>
    <n v="14952000"/>
    <s v="Rutuja kamble"/>
    <x v="13"/>
    <s v="Order Issued-"/>
    <s v="20.06.2024"/>
    <s v="Delivered"/>
    <x v="0"/>
  </r>
  <r>
    <n v="27"/>
    <x v="1"/>
    <d v="2024-10-07T00:00:00"/>
    <s v="Public Health Department"/>
    <s v="JDHS (TB, BCG) Pune"/>
    <s v="14-09-2023"/>
    <n v="4"/>
    <m/>
    <s v="Medicines &amp; Consumables for Tuberculosis Programme Eradication"/>
    <n v="7613479"/>
    <s v="State Budget 2023-24"/>
    <n v="7613479"/>
    <s v="Rutuja kamble"/>
    <x v="14"/>
    <s v="Orders Issued  "/>
    <d v="2024-10-07T00:00:00"/>
    <s v="Partially Delivered"/>
    <x v="1"/>
  </r>
  <r>
    <n v="28"/>
    <x v="0"/>
    <d v="2023-08-12T00:00:00"/>
    <s v="Public Health Department"/>
    <s v="JDHS (Technical) Mumbai"/>
    <d v="2023-12-09T00:00:00"/>
    <n v="28"/>
    <m/>
    <s v="Unani, Homeopathy Medicines"/>
    <n v="4851494"/>
    <s v="NAM -SAAP 2014-15 &amp; 2017-18"/>
    <n v="4851494"/>
    <s v="sameer shaikh"/>
    <x v="15"/>
    <s v="Orders Issued  "/>
    <d v="2024-10-07T00:00:00"/>
    <m/>
    <x v="0"/>
  </r>
  <r>
    <n v="29"/>
    <x v="0"/>
    <d v="2023-08-12T00:00:00"/>
    <s v="Public Health Department"/>
    <s v="JDHS (TB, BCG) Pune"/>
    <s v="14-09-2023"/>
    <n v="5"/>
    <m/>
    <s v="Medicines &amp; Consumables for Tuberculosis Programme Eradication"/>
    <n v="24004854"/>
    <s v="State Budget 2023-24"/>
    <n v="24004854"/>
    <s v="Rutuja kamble"/>
    <x v="16"/>
    <s v="Orders Issued  "/>
    <s v="18-07-2024"/>
    <s v="Delivered"/>
    <x v="0"/>
  </r>
  <r>
    <n v="30"/>
    <x v="0"/>
    <d v="2024-05-01T00:00:00"/>
    <s v="Public Health Department"/>
    <s v="JDHS (NCD) Mumbai"/>
    <d v="2023-08-12T00:00:00"/>
    <n v="6"/>
    <m/>
    <s v="Medicines &amp; Consumables for Blindness Control Programme"/>
    <n v="1837826"/>
    <s v="NHM PIP 2023-24"/>
    <n v="1837826"/>
    <s v="Visave "/>
    <x v="17"/>
    <s v="Orders Issued  "/>
    <s v="22-07-2024"/>
    <m/>
    <x v="0"/>
  </r>
  <r>
    <n v="31"/>
    <x v="0"/>
    <d v="2023-08-12T00:00:00"/>
    <s v="Public Health Department"/>
    <s v="JDHS (TB, BCG) Pune"/>
    <s v="14-09-2023 + 27-01-2024"/>
    <n v="2"/>
    <m/>
    <s v="Tuberculosis Drugs"/>
    <n v="10770752"/>
    <s v="State Budget 2023-24 + Supplimentary Budget"/>
    <n v="6535864"/>
    <s v="Rutuja kamble"/>
    <x v="18"/>
    <s v="Orders Issued "/>
    <s v="22-08-2024"/>
    <s v="yes"/>
    <x v="0"/>
  </r>
  <r>
    <n v="32"/>
    <x v="0"/>
    <d v="2023-08-12T00:00:00"/>
    <s v="Public Health Department"/>
    <s v="JDHS (Technical) Mumbai"/>
    <d v="2023-12-09T00:00:00"/>
    <n v="2"/>
    <m/>
    <s v=" Homeopathy Medicines"/>
    <n v="2025880"/>
    <s v="NAM -SAAP 2014-15 &amp; 2017-18"/>
    <n v="2025880"/>
    <s v="sameer shaikh"/>
    <x v="15"/>
    <s v="Orders Issued "/>
    <s v="20-08-2024"/>
    <m/>
    <x v="0"/>
  </r>
  <r>
    <n v="33"/>
    <x v="0"/>
    <d v="2023-08-12T00:00:00"/>
    <s v="Public Health Department"/>
    <s v="JDHS (Technical) Mumbai"/>
    <d v="2023-12-09T00:00:00"/>
    <n v="69"/>
    <m/>
    <s v="Ayurvedic Medicines"/>
    <n v="26786494"/>
    <s v="NAM -SAAP 2014-15 &amp; 2017-18"/>
    <n v="26786494"/>
    <s v="sameer shaikh"/>
    <x v="19"/>
    <s v="Orders Issued "/>
    <d v="2024-02-09T00:00:00"/>
    <m/>
    <x v="0"/>
  </r>
  <r>
    <n v="34"/>
    <x v="0"/>
    <d v="2023-11-09T00:00:00"/>
    <s v="Medical Education &amp; Research "/>
    <s v="Commissioner (DMER) Mumbai"/>
    <d v="2023-05-09T00:00:00"/>
    <n v="15"/>
    <m/>
    <s v="Diagnostic Kit's"/>
    <n v="17485653"/>
    <s v="State Budget 2023-24"/>
    <n v="32886062"/>
    <s v="Visave "/>
    <x v="20"/>
    <s v="Order Issued on 10-09-2024"/>
    <d v="2024-10-09T00:00:00"/>
    <m/>
    <x v="0"/>
  </r>
  <r>
    <n v="35"/>
    <x v="0"/>
    <d v="2024-08-02T00:00:00"/>
    <s v="Public Health Department"/>
    <s v="JDHS (Hospital Cell) Mumbai"/>
    <s v="27-12-2023"/>
    <n v="32"/>
    <m/>
    <s v="Medicines"/>
    <n v="22449724"/>
    <s v="State Budget 2023-24"/>
    <n v="5622604"/>
    <s v="sameer shaikh"/>
    <x v="21"/>
    <s v="Order Issued on  "/>
    <d v="2024-12-09T00:00:00"/>
    <m/>
    <x v="0"/>
  </r>
  <r>
    <n v="36"/>
    <x v="0"/>
    <d v="2023-11-09T00:00:00"/>
    <s v="Medical Education &amp; Research "/>
    <s v="Director, DMER"/>
    <d v="2024-05-09T00:00:00"/>
    <n v="10"/>
    <m/>
    <s v="Surgical Non- Drug"/>
    <n v="6295873"/>
    <s v="State Budget 2023-24"/>
    <n v="9012448"/>
    <s v="Aarti "/>
    <x v="22"/>
    <s v="Order Issued"/>
    <s v="20-09-2024_x000a_17-03-2025"/>
    <m/>
    <x v="0"/>
  </r>
  <r>
    <n v="37"/>
    <x v="0"/>
    <d v="2024-08-02T00:00:00"/>
    <s v="Public Health Department"/>
    <s v="JDHS (Hospital Cell) Mumbai"/>
    <s v="27-12-2023"/>
    <n v="32"/>
    <m/>
    <s v="Medicines"/>
    <n v="37752878"/>
    <s v="State Budget 2023-24"/>
    <n v="37752878"/>
    <s v="sameer shaikh"/>
    <x v="23"/>
    <s v="Order Issued "/>
    <s v="20-09-2024_x000a_08-01-2025"/>
    <m/>
    <x v="0"/>
  </r>
  <r>
    <n v="38"/>
    <x v="2"/>
    <m/>
    <s v="Public Health Department"/>
    <s v="JT- DHS (Technical) NHM Mumbai"/>
    <d v="2023-08-09T00:00:00"/>
    <n v="1"/>
    <m/>
    <s v="Heamophillia Factors                   (Recombinant 500 IU)"/>
    <n v="2950500"/>
    <s v="NHM PIP              2023-24"/>
    <n v="2950500"/>
    <s v="R Chavan "/>
    <x v="24"/>
    <s v="Order Issued "/>
    <s v="23-09-2024"/>
    <m/>
    <x v="0"/>
  </r>
  <r>
    <n v="39"/>
    <x v="1"/>
    <d v="2024-11-09T00:00:00"/>
    <s v="Medical Education &amp; Research "/>
    <s v="Director, DMER"/>
    <s v="14-02-2024"/>
    <n v="2"/>
    <m/>
    <s v="Surgical Spirit"/>
    <n v="3582480"/>
    <s v="State Budget 2023-24"/>
    <n v="3582480"/>
    <s v="Visave "/>
    <x v="25"/>
    <s v="Order Issued on  26-09-2024"/>
    <s v="26-09-2024"/>
    <m/>
    <x v="0"/>
  </r>
  <r>
    <n v="40"/>
    <x v="1"/>
    <d v="2024-11-09T00:00:00"/>
    <s v="Medical Education &amp; Research "/>
    <s v="Director, DMER"/>
    <s v="14-02-2024"/>
    <n v="1"/>
    <m/>
    <s v="Vaccine (Immunoglobine)"/>
    <n v="11997720"/>
    <s v="State Budget 2023-24"/>
    <n v="13330800"/>
    <s v="Aarti "/>
    <x v="26"/>
    <s v="Order Issued on  26-09-2024"/>
    <s v="26-09-2024"/>
    <m/>
    <x v="0"/>
  </r>
  <r>
    <n v="41"/>
    <x v="0"/>
    <s v="13-02-2024"/>
    <s v="Public Health Department"/>
    <s v="JDHS (Procurement Cell) Mumbai"/>
    <d v="2024-12-02T00:00:00"/>
    <n v="8"/>
    <m/>
    <s v="Medicines / Haffkine Reserved Medicines"/>
    <n v="240269293"/>
    <s v="NHM PIP              2023-24"/>
    <n v="240269293"/>
    <s v="Deepali Kamble"/>
    <x v="27"/>
    <s v="Order Issued"/>
    <s v="12-09-2024     &amp; 30-09-2024"/>
    <s v="yes"/>
    <x v="0"/>
  </r>
  <r>
    <n v="42"/>
    <x v="0"/>
    <d v="2023-11-09T00:00:00"/>
    <s v="Medical Education &amp; Research "/>
    <s v="Director, DMER"/>
    <d v="2024-05-09T00:00:00"/>
    <n v="1"/>
    <m/>
    <s v="Assorted teeth set for RPD various shades  (ANTERIOR AND POSTERIOR)"/>
    <n v="1087601"/>
    <s v="State Budget 2023-25"/>
    <n v="1087601"/>
    <s v="Visave "/>
    <x v="28"/>
    <s v="Order Issued on  03-10-2024"/>
    <d v="2024-03-10T00:00:00"/>
    <m/>
    <x v="0"/>
  </r>
  <r>
    <n v="43"/>
    <x v="0"/>
    <s v="29-02-2024"/>
    <s v="Medical Education &amp; Research "/>
    <s v="Director, DMER"/>
    <s v="14-02-2024"/>
    <n v="1"/>
    <m/>
    <s v="Plasma Factors"/>
    <n v="24766493"/>
    <s v="State Budget 2023-24"/>
    <n v="24766493"/>
    <s v="Aarti "/>
    <x v="29"/>
    <s v="Order Issued on  07-10-2024"/>
    <d v="2024-07-10T00:00:00"/>
    <m/>
    <x v="0"/>
  </r>
  <r>
    <n v="44"/>
    <x v="0"/>
    <d v="2023-11-09T00:00:00"/>
    <s v="Medical Education &amp; Research "/>
    <s v="Director, DMER"/>
    <d v="2024-05-09T00:00:00"/>
    <n v="3"/>
    <m/>
    <s v="Surgical Dressing "/>
    <n v="9668511"/>
    <s v="State Budget 2023-27"/>
    <n v="98892183"/>
    <s v="Aarti "/>
    <x v="30"/>
    <s v="Order Issued on  07-10-2024"/>
    <d v="2024-07-10T00:00:00"/>
    <m/>
    <x v="0"/>
  </r>
  <r>
    <n v="45"/>
    <x v="1"/>
    <d v="2024-09-10T00:00:00"/>
    <s v="Public Health Department"/>
    <s v="JT- DHS (Technical) NHM Mumbai"/>
    <d v="2024-09-10T00:00:00"/>
    <n v="1"/>
    <m/>
    <s v="Factor VII 1mg"/>
    <n v="39995960"/>
    <s v="NHM PIP              2024-25"/>
    <n v="39995960"/>
    <s v="R Chavan "/>
    <x v="31"/>
    <s v="Order Issued "/>
    <d v="2024-11-10T00:00:00"/>
    <m/>
    <x v="0"/>
  </r>
  <r>
    <n v="46"/>
    <x v="1"/>
    <d v="2024-09-10T00:00:00"/>
    <s v="Public Health Department"/>
    <s v="JT- DHS (Technical) NHM Mumbai"/>
    <d v="2024-09-10T00:00:00"/>
    <n v="1"/>
    <m/>
    <s v="Factor VIII with VWF 250 IU"/>
    <n v="409500"/>
    <s v="NHM PIP              2024-25"/>
    <n v="409500"/>
    <s v="R Chavan "/>
    <x v="32"/>
    <s v="Order Issued "/>
    <d v="2024-11-10T00:00:00"/>
    <m/>
    <x v="0"/>
  </r>
  <r>
    <n v="47"/>
    <x v="0"/>
    <s v="29-02-2024"/>
    <s v="Medical Education &amp; Research "/>
    <s v="Director, DMER"/>
    <s v="14-02-2024"/>
    <n v="2"/>
    <m/>
    <s v="1)Benzalkonium chloride solution I-P 20% w/v 500ml bottle_x000a_2)Anti D (Rho D) Human Immunoglobuline polyclonal/moclonol 300mcg Inj"/>
    <n v="3316340"/>
    <s v="State Budget 2023-28"/>
    <n v="3318040"/>
    <s v="Visave "/>
    <x v="33"/>
    <s v=" Order Issued  "/>
    <d v="2024-07-10T00:00:00"/>
    <m/>
    <x v="0"/>
  </r>
  <r>
    <n v="48"/>
    <x v="0"/>
    <d v="2024-01-02T00:00:00"/>
    <s v="Public Health Department"/>
    <s v="Additional Director (SFWB) Pune 1 "/>
    <d v="2023-01-12T00:00:00"/>
    <n v="1"/>
    <m/>
    <s v="Microcuvettes"/>
    <n v="35000007"/>
    <s v="NHM PIP 2023-24"/>
    <n v="35000000"/>
    <m/>
    <x v="34"/>
    <s v="Patented Product, Direct Purchase"/>
    <d v="2024-11-10T00:00:00"/>
    <s v="Delivered"/>
    <x v="0"/>
  </r>
  <r>
    <n v="49"/>
    <x v="0"/>
    <d v="2023-10-11T00:00:00"/>
    <s v="Public Health Department"/>
    <s v="JDHS (Hospital Cell) Mumbai"/>
    <s v="19-10-2023"/>
    <n v="6"/>
    <m/>
    <s v="Medicines &amp; Consumables for IPHS Centre (Dialysis)"/>
    <n v="8643818"/>
    <s v="NHM PIP 2023-24"/>
    <n v="8643818"/>
    <s v="Rutuja kamble"/>
    <x v="35"/>
    <s v="Orders Issued "/>
    <d v="2024-05-08T00:00:00"/>
    <s v="Delivered"/>
    <x v="0"/>
  </r>
  <r>
    <n v="50"/>
    <x v="1"/>
    <s v="23-07-2024"/>
    <s v="Public Health Department"/>
    <s v="JD (Technical) NHM Mumbai"/>
    <s v="26-06-2024"/>
    <n v="1"/>
    <m/>
    <s v="Vaginal PH Test Kit"/>
    <n v="47964977"/>
    <s v="NHM PIP 2023-24"/>
    <n v="47964977"/>
    <s v="Rutuja kamble"/>
    <x v="36"/>
    <s v=" Order Issued  "/>
    <d v="2024-11-10T00:00:00"/>
    <s v="yes"/>
    <x v="0"/>
  </r>
  <r>
    <n v="51"/>
    <x v="0"/>
    <d v="2023-08-12T00:00:00"/>
    <s v="Public Health Department"/>
    <s v="JDHS (TB, BCG) Pune"/>
    <s v="14-09-2023"/>
    <n v="1"/>
    <m/>
    <s v="Medicines &amp; Consumables for Tuberculosis Programme Eradication"/>
    <n v="3926961"/>
    <s v="NHM PIP 2023-24"/>
    <n v="3927000"/>
    <s v="Rutuja kamble"/>
    <x v="37"/>
    <s v="Order Issued "/>
    <d v="2024-11-10T00:00:00"/>
    <s v="Delivered"/>
    <x v="0"/>
  </r>
  <r>
    <n v="52"/>
    <x v="0"/>
    <d v="2023-11-09T00:00:00"/>
    <s v="Medical Education &amp; Research "/>
    <s v="Director, DMER"/>
    <d v="2023-05-09T00:00:00"/>
    <n v="6"/>
    <m/>
    <s v="Surgical Non- Drug"/>
    <n v="10255729"/>
    <s v="State Budget 2023-24"/>
    <n v="11397778"/>
    <s v="Visave "/>
    <x v="38"/>
    <s v=" Order Issued  "/>
    <s v="27-11-2024_x000a_12-03-2025"/>
    <m/>
    <x v="0"/>
  </r>
  <r>
    <n v="53"/>
    <x v="0"/>
    <d v="2023-11-09T00:00:00"/>
    <s v="Medical Education &amp; Research "/>
    <s v="Director, DMER"/>
    <d v="2023-05-09T00:00:00"/>
    <n v="24"/>
    <m/>
    <s v="Surgical  Drug"/>
    <n v="66458194"/>
    <s v="State Budget 2023-24"/>
    <n v="80440242"/>
    <s v="Aarti "/>
    <x v="39"/>
    <s v=" Order Issued  "/>
    <s v="27-11-2024_x000a_12-03-2025"/>
    <m/>
    <x v="0"/>
  </r>
  <r>
    <n v="54"/>
    <x v="0"/>
    <s v="29-02-2024"/>
    <s v="Medical Education &amp; Research "/>
    <s v="Director, DMER"/>
    <s v="14-02-2024"/>
    <n v="1"/>
    <m/>
    <s v="Anesthetic "/>
    <n v="3513741"/>
    <s v="State Budget 2023-24"/>
    <n v="3513741"/>
    <s v="Aarti "/>
    <x v="40"/>
    <s v=" Order Issued  "/>
    <s v="27-11-2024"/>
    <m/>
    <x v="0"/>
  </r>
  <r>
    <n v="55"/>
    <x v="0"/>
    <s v="29-02-2024"/>
    <s v="Medical Education &amp; Research "/>
    <s v="Director, DMER"/>
    <s v="14-02-2024"/>
    <n v="8"/>
    <m/>
    <s v="Ointments &amp; Other Drugs"/>
    <n v="26967627"/>
    <s v="State Budget 2023-24"/>
    <n v="28614930"/>
    <s v="Visave "/>
    <x v="41"/>
    <s v=" Order Issued  "/>
    <s v="28-11-2024_x000a_12-03-2025_x000a_17-03-2025"/>
    <m/>
    <x v="0"/>
  </r>
  <r>
    <n v="56"/>
    <x v="0"/>
    <s v="29-02-2024"/>
    <s v="Medical Education &amp; Research "/>
    <s v="Director, DMER"/>
    <s v="14-02-2024"/>
    <n v="13"/>
    <m/>
    <s v="Injections "/>
    <n v="32994400"/>
    <s v="State Budget 2023-24"/>
    <n v="39454128"/>
    <s v="Visave "/>
    <x v="42"/>
    <s v=" Order Issued  "/>
    <s v="29-11-2024_x000a_17-03-2025"/>
    <m/>
    <x v="0"/>
  </r>
  <r>
    <n v="57"/>
    <x v="0"/>
    <s v="29-02-2024"/>
    <s v="Medical Education &amp; Research "/>
    <s v="Director, DMER"/>
    <s v="14-02-2024"/>
    <n v="6"/>
    <m/>
    <s v="Glass Wares"/>
    <n v="6422349"/>
    <s v="State Budget 2023-24"/>
    <n v="8140660"/>
    <s v="Visave "/>
    <x v="43"/>
    <s v=" Order Issued  "/>
    <s v="28-11-2024_x000a_17-03-2025"/>
    <m/>
    <x v="0"/>
  </r>
  <r>
    <n v="58"/>
    <x v="0"/>
    <s v="29-02-2024"/>
    <s v="Medical Education &amp; Research "/>
    <s v="Director, DMER"/>
    <s v="14-02-2024"/>
    <n v="3"/>
    <m/>
    <s v="Diagnostic Kit "/>
    <n v="1893059"/>
    <s v="State Budget 2023-24"/>
    <n v="4876946"/>
    <s v="Visave "/>
    <x v="44"/>
    <s v=" Order Issued  "/>
    <s v="28-11-2024_x000a_"/>
    <m/>
    <x v="0"/>
  </r>
  <r>
    <n v="59"/>
    <x v="0"/>
    <s v="29-02-2024"/>
    <s v="Medical Education &amp; Research "/>
    <s v="Director, DMER"/>
    <s v="14-02-2024"/>
    <n v="7"/>
    <m/>
    <s v="Sutures &amp; Staplers"/>
    <n v="11568871"/>
    <s v="State Budget 2023-24"/>
    <n v="11568871"/>
    <s v="Visave "/>
    <x v="45"/>
    <s v=" Order Issued  "/>
    <s v="28-11-2024_x000a_"/>
    <m/>
    <x v="0"/>
  </r>
  <r>
    <n v="60"/>
    <x v="0"/>
    <s v="29-02-2024"/>
    <s v="Medical Education &amp; Research "/>
    <s v="Director, DMER"/>
    <s v="14-02-2024"/>
    <n v="6"/>
    <m/>
    <s v="IV Fluids "/>
    <n v="37866472"/>
    <s v="State Budget 2023-24"/>
    <n v="37866472"/>
    <s v="Visave "/>
    <x v="46"/>
    <s v=" Order Issued  "/>
    <s v="03-12-2024_x000a_17-03-2025"/>
    <m/>
    <x v="0"/>
  </r>
  <r>
    <n v="61"/>
    <x v="1"/>
    <s v="18-09-2024"/>
    <s v="Public Health Department"/>
    <s v="SBTC"/>
    <s v="14-09-2023"/>
    <n v="3"/>
    <m/>
    <s v="SBTC Consumables"/>
    <n v="11070950"/>
    <m/>
    <n v="12512000"/>
    <s v="Rutuja kamble"/>
    <x v="47"/>
    <s v=" Order Issued  "/>
    <d v="2024-04-12T00:00:00"/>
    <s v="Delivered"/>
    <x v="0"/>
  </r>
  <r>
    <n v="62"/>
    <x v="0"/>
    <s v="29-02-2024"/>
    <s v="Medical Education &amp; Research "/>
    <s v="Director, DMER"/>
    <s v="14-02-2024"/>
    <n v="4"/>
    <m/>
    <s v="1)Paracetamol 10mg/ml Inj 100ml bottle_x000a_2)Ceftriaxone Sodium 1gm Inj_x000a_3)Piperacilin 4gm + Tazobactum 0-5 mg Inj_x000a_4)Meropenam 1gm Inj"/>
    <n v="12418503"/>
    <s v="State Budget 2023-24"/>
    <n v="15329494"/>
    <s v="Visave "/>
    <x v="33"/>
    <s v=" Order Issued  "/>
    <d v="2024-11-12T00:00:00"/>
    <m/>
    <x v="0"/>
  </r>
  <r>
    <n v="63"/>
    <x v="0"/>
    <s v="29-02-2024"/>
    <s v="Medical Education &amp; Research "/>
    <s v="Director, DMER"/>
    <s v="14-02-2024"/>
    <n v="5"/>
    <m/>
    <s v="1)Paracetamol 500mg Tab_x000a_2)Oxytocin 5 I-U / ml Inj 1 ml amp_x000a_3)Cefotaxime Sodium 1 gm Inj-_x000a_4)Rabies Vaccine Human_x000a_5)Heaparin Sodium 5000 I-U-/ml Inj 5 ml Vial"/>
    <n v="13921026"/>
    <s v="State Budget 2023-24"/>
    <n v="15663665"/>
    <s v="Visave "/>
    <x v="33"/>
    <s v=" Order Issued  "/>
    <s v="16-12-2024"/>
    <m/>
    <x v="0"/>
  </r>
  <r>
    <n v="64"/>
    <x v="0"/>
    <s v="29-02-2024"/>
    <s v="Medical Education &amp; Research "/>
    <s v="Director, DMER"/>
    <s v="14-02-2024"/>
    <n v="12"/>
    <m/>
    <s v="Tablets Capsule And Syrup "/>
    <n v="51756358"/>
    <s v="State Budget 2023-24"/>
    <n v="63855210"/>
    <s v="Aarti "/>
    <x v="48"/>
    <s v=" Order Issued  "/>
    <s v="16-12-2024_x000a_12-03-2025_x000a_17-03-2025"/>
    <m/>
    <x v="0"/>
  </r>
  <r>
    <n v="65"/>
    <x v="0"/>
    <s v="29-02-2024"/>
    <s v="Medical Education &amp; Research "/>
    <s v="Director, DMER"/>
    <s v="14-02-2024"/>
    <n v="1"/>
    <m/>
    <s v="Vaccine "/>
    <n v="18698736"/>
    <s v="State Budget 2023-24"/>
    <n v="29345689"/>
    <s v="Visave "/>
    <x v="49"/>
    <s v=" Order Issued  "/>
    <s v="16-12-2024"/>
    <m/>
    <x v="0"/>
  </r>
  <r>
    <n v="66"/>
    <x v="1"/>
    <s v="16-10-2024"/>
    <s v="Medical Education &amp; Research "/>
    <s v="Director, DMER"/>
    <d v="2024-09-10T00:00:00"/>
    <n v="6"/>
    <m/>
    <s v="Haffkine Reserved Items"/>
    <n v="61578903"/>
    <s v="State Budget 2024-25"/>
    <n v="62525159"/>
    <s v="Sachin Wankhede"/>
    <x v="0"/>
    <s v=" Order Issued  "/>
    <s v="16-12-2024"/>
    <m/>
    <x v="0"/>
  </r>
  <r>
    <n v="67"/>
    <x v="0"/>
    <d v="2024-08-02T00:00:00"/>
    <s v="Public Health Department"/>
    <s v="JDHS (Hospital Cell) Mumbai"/>
    <s v="27-12-2023"/>
    <n v="19"/>
    <m/>
    <s v="Medicines"/>
    <n v="43072510"/>
    <s v="State Budget 2023-24"/>
    <n v="43072510"/>
    <s v="sameer shaikh"/>
    <x v="50"/>
    <s v=" Order Issued  "/>
    <s v="23-12-2024_x000a_31-12-2024"/>
    <m/>
    <x v="1"/>
  </r>
  <r>
    <n v="68"/>
    <x v="0"/>
    <d v="2024-08-02T00:00:00"/>
    <s v="Public Health Department"/>
    <s v="JDHS (Hospital Cell) Mumbai"/>
    <s v="27-12-2023"/>
    <n v="8"/>
    <m/>
    <s v="Consumables other than reserved items"/>
    <n v="17761414"/>
    <s v="State Budget 2023-24"/>
    <n v="17761414"/>
    <s v="sameer shaikh"/>
    <x v="51"/>
    <s v=" Order Issued  "/>
    <s v="23-12-2024_x000a_08-01-2025"/>
    <m/>
    <x v="1"/>
  </r>
  <r>
    <n v="69"/>
    <x v="1"/>
    <s v="26-06-2024"/>
    <s v="Public Health Department"/>
    <s v="JD (Technical) NHM Mumbai"/>
    <s v="30-07-2024"/>
    <n v="1"/>
    <m/>
    <s v="Vaginal PH Test Kit"/>
    <n v="48875000"/>
    <s v="NHM PIP 2023-24"/>
    <n v="48875000"/>
    <s v="Rutuja kamble"/>
    <x v="36"/>
    <s v=" Order Issued  "/>
    <s v="27-12-2024"/>
    <s v="yes"/>
    <x v="0"/>
  </r>
  <r>
    <n v="70"/>
    <x v="0"/>
    <s v="29-02-2024"/>
    <s v="Medical Education &amp; Research "/>
    <s v="Director, DMER"/>
    <s v="14-02-24"/>
    <n v="2"/>
    <m/>
    <s v="Suture and Staple's "/>
    <n v="2625540"/>
    <s v="State Budget 2023-24"/>
    <n v="2636714"/>
    <s v="Visave "/>
    <x v="52"/>
    <s v=" Order Issued  "/>
    <d v="2025-03-01T00:00:00"/>
    <m/>
    <x v="0"/>
  </r>
  <r>
    <n v="71"/>
    <x v="0"/>
    <s v="29-02-2024"/>
    <s v="Medical Education &amp; Research "/>
    <s v="Director, DMER"/>
    <s v="14-02-2024"/>
    <n v="2"/>
    <m/>
    <s v="1)I-V Metronidazole 100ml Bottle_x000a_2)Desflurane 240ml Bottle"/>
    <n v="4341523"/>
    <s v="State Budget 2023-24"/>
    <n v="4350078"/>
    <s v="Visave "/>
    <x v="33"/>
    <s v=" Order Issued  "/>
    <d v="2025-03-01T00:00:00"/>
    <m/>
    <x v="0"/>
  </r>
  <r>
    <n v="72"/>
    <x v="0"/>
    <d v="2024-08-02T00:00:00"/>
    <s v="Public Health Department"/>
    <s v="JDHS (Hospital Cell) Mumbai"/>
    <s v="27-12-2023"/>
    <n v="2"/>
    <m/>
    <s v="Tablets"/>
    <n v="7245828"/>
    <s v="State Budget 2023-24"/>
    <n v="7245828"/>
    <s v="Rohan Patekar"/>
    <x v="53"/>
    <s v="Order Issued "/>
    <d v="2025-08-01T00:00:00"/>
    <m/>
    <x v="0"/>
  </r>
  <r>
    <n v="73"/>
    <x v="0"/>
    <d v="2023-10-11T00:00:00"/>
    <s v="Public Health Department"/>
    <s v="JDHS (Hospital Cell) Mumbai"/>
    <s v="19-10-2023"/>
    <n v="5"/>
    <m/>
    <s v="Medicines &amp; Consumables for IPHS Centre (Dialysis)"/>
    <n v="18233462"/>
    <s v="NHM PIP 2023-24"/>
    <n v="18233462"/>
    <s v="Rutuja kamble"/>
    <x v="54"/>
    <s v="Order Issued "/>
    <d v="2025-09-01T00:00:00"/>
    <s v="Delivered"/>
    <x v="0"/>
  </r>
  <r>
    <n v="74"/>
    <x v="0"/>
    <s v="29-02-2024"/>
    <s v="Medical Education &amp; Research "/>
    <s v="Director, DMER"/>
    <s v="14-02-2024"/>
    <n v="10"/>
    <m/>
    <s v="Surgical Drug "/>
    <n v="18136727"/>
    <s v="State Budget 2023-24"/>
    <n v="14592522"/>
    <s v="Visave "/>
    <x v="55"/>
    <s v="Order Issued "/>
    <s v="10-01-2025_x000a_17-03-2025"/>
    <m/>
    <x v="0"/>
  </r>
  <r>
    <n v="75"/>
    <x v="1"/>
    <d v="2025-01-01T00:00:00"/>
    <s v="Public Health Department"/>
    <s v="JT- DHS (Technical) NHM Mumbai"/>
    <s v="24-12-2024"/>
    <n v="1"/>
    <m/>
    <s v="Factor VIII Plasma Derived 250 IU"/>
    <n v="19262250"/>
    <s v="NHM PIP              2024-25"/>
    <n v="19262250"/>
    <s v="R Chavan "/>
    <x v="56"/>
    <s v="Order Issued "/>
    <s v="20-01-2025"/>
    <m/>
    <x v="0"/>
  </r>
  <r>
    <n v="76"/>
    <x v="1"/>
    <d v="2025-01-01T00:00:00"/>
    <s v="Public Health Department"/>
    <s v="JT- DHS (Technical) NHM Mumbai"/>
    <s v="24-12-2024"/>
    <n v="1"/>
    <m/>
    <s v="Factor VIII Plasma Derived 500 IU"/>
    <n v="12101639"/>
    <s v="NHM PIP              2024-25"/>
    <n v="12101639"/>
    <s v="R Chavan "/>
    <x v="57"/>
    <s v="Order Issued "/>
    <s v="20-01-2025"/>
    <m/>
    <x v="1"/>
  </r>
  <r>
    <n v="77"/>
    <x v="1"/>
    <d v="2025-05-02T00:00:00"/>
    <s v="Public Health Department"/>
    <s v="JT- DHS (Technical) NHM Mumbai"/>
    <s v="31-01-2025"/>
    <n v="1"/>
    <m/>
    <s v="Factor IX Plasma Derived 600 IU"/>
    <n v="49899213"/>
    <s v="NHM PIP              2024-25"/>
    <n v="49899213"/>
    <s v="R Chavan "/>
    <x v="58"/>
    <s v="Order Issued "/>
    <d v="2025-03-03T00:00:00"/>
    <m/>
    <x v="1"/>
  </r>
  <r>
    <n v="78"/>
    <x v="1"/>
    <d v="2025-05-02T00:00:00"/>
    <s v="Public Health Department"/>
    <s v="JT- DHS (Technical) NHM Mumbai"/>
    <s v="31-01-2025"/>
    <n v="1"/>
    <m/>
    <s v="(Activated Prothrombin Complex Concentrates)_x000a_APPCC/FEIBA 500 IU"/>
    <n v="49974750"/>
    <s v="NHM PIP              2024-25"/>
    <n v="49974750"/>
    <s v="R Chavan "/>
    <x v="59"/>
    <s v="Order Issued "/>
    <d v="2025-03-03T00:00:00"/>
    <m/>
    <x v="2"/>
  </r>
  <r>
    <n v="79"/>
    <x v="1"/>
    <s v="26-08-2024"/>
    <s v="Public Health Department"/>
    <s v="JDHS (Technical) Mumbai"/>
    <s v="26-08-2024"/>
    <n v="8"/>
    <m/>
    <s v="Test Kits"/>
    <s v="12,21,83,183"/>
    <s v="15th Finance"/>
    <s v="12,29,36,880"/>
    <s v="Rutuja kamble"/>
    <x v="60"/>
    <s v="Order Issued "/>
    <d v="2025-07-03T00:00:00"/>
    <s v="yes"/>
    <x v="0"/>
  </r>
  <r>
    <n v="80"/>
    <x v="1"/>
    <s v="26-08-2024"/>
    <s v="Public Health Department"/>
    <s v="JDHS (Technical) Mumbai"/>
    <s v="26-08-2024"/>
    <n v="7"/>
    <m/>
    <s v="Lab Equipments"/>
    <n v="15599752"/>
    <s v="15th Finance"/>
    <s v="1,73,60,787"/>
    <s v="Rutuja kamble"/>
    <x v="61"/>
    <s v="Order Issued "/>
    <s v="18-03-2025"/>
    <s v="yes"/>
    <x v="0"/>
  </r>
  <r>
    <n v="81"/>
    <x v="1"/>
    <s v="29.06.2024"/>
    <s v="Public Health Department"/>
    <s v="Additional Director (SFWB) Pune 1 "/>
    <s v="24.06.2024"/>
    <n v="1"/>
    <m/>
    <s v="Oral Liquid  /Ointment"/>
    <n v="99199310"/>
    <s v="NHM PIP_x000a_2024-25"/>
    <n v="99199310"/>
    <s v="Deepali Kamble"/>
    <x v="62"/>
    <s v="Order Issued "/>
    <s v="19.03.2025"/>
    <s v="yes"/>
    <x v="0"/>
  </r>
  <r>
    <n v="82"/>
    <x v="0"/>
    <d v="2024-08-02T00:00:00"/>
    <s v="Public Health Department"/>
    <s v="JDHS (Hospital Cell) Mumbai"/>
    <s v="27-12-2023"/>
    <n v="1"/>
    <m/>
    <s v="Medicines"/>
    <n v="8856400"/>
    <s v="State Budget 2023-24"/>
    <n v="8856400"/>
    <s v="R Chavan "/>
    <x v="63"/>
    <s v="Order Issued "/>
    <s v="24.03.2025"/>
    <m/>
    <x v="0"/>
  </r>
  <r>
    <n v="83"/>
    <x v="0"/>
    <d v="2024-08-02T00:00:00"/>
    <s v="Public Health Department"/>
    <s v="JDHS (Hospital Cell) Mumbai"/>
    <s v="27-12-2023"/>
    <n v="3"/>
    <m/>
    <s v="Consumables other than reserved items"/>
    <n v="3646600"/>
    <s v="State Budget 2023-24"/>
    <n v="3646600"/>
    <s v="Rohan Patekar"/>
    <x v="64"/>
    <s v="Order Issued "/>
    <s v="24.03.2025"/>
    <m/>
    <x v="0"/>
  </r>
  <r>
    <n v="84"/>
    <x v="1"/>
    <d v="2025-06-03T00:00:00"/>
    <s v="Public Health Department"/>
    <s v="JT- DHS (Technical) NHM Mumbai"/>
    <d v="2025-04-03T00:00:00"/>
    <n v="1"/>
    <m/>
    <s v="Recombinant Factor VII 1mg"/>
    <s v="3,15,75,758"/>
    <s v="NHM PIP              2024-25"/>
    <n v="31575758"/>
    <s v="M. Sameer Shaikh"/>
    <x v="65"/>
    <s v="Order Issued "/>
    <s v="01.04.2025"/>
    <m/>
    <x v="0"/>
  </r>
  <r>
    <n v="85"/>
    <x v="0"/>
    <s v="22-03-2024"/>
    <s v="Public Health Department"/>
    <s v="Addl- Director (SFWB) Pune"/>
    <d v="2024-04-03T00:00:00"/>
    <n v="1"/>
    <m/>
    <s v="Free Glasses for Prevention of Visual Impairment in school children"/>
    <n v="15000000"/>
    <s v="NHM PIP 2023-24"/>
    <n v="15000000"/>
    <s v="Visave "/>
    <x v="66"/>
    <s v="Order Issued "/>
    <s v="01.04.2025"/>
    <m/>
    <x v="0"/>
  </r>
  <r>
    <n v="86"/>
    <x v="3"/>
    <d v="2025-03-04T00:00:00"/>
    <s v="Public Health Department"/>
    <s v="JT- DHS (Technical) NHM Mumbai"/>
    <s v="28-03-2025"/>
    <n v="1"/>
    <m/>
    <s v="Factor VIII  with VWF 250IU/Vial"/>
    <n v="1822275"/>
    <s v="NHM PIP              2024-25"/>
    <n v="1822275"/>
    <s v="R Chavan "/>
    <x v="67"/>
    <s v="Order Issued "/>
    <s v="04.04.2025"/>
    <m/>
    <x v="0"/>
  </r>
  <r>
    <n v="87"/>
    <x v="1"/>
    <s v="29.06.2024"/>
    <s v="Public Health Department"/>
    <s v="Additional Director (SFWB) Pune 1 "/>
    <s v="24.06.2024"/>
    <n v="1"/>
    <m/>
    <s v="Tablet Capsule Phase I"/>
    <n v="59495700"/>
    <s v="NHM PIP_x000a_2024-25"/>
    <n v="59495700"/>
    <s v="Deepali Kamble"/>
    <x v="68"/>
    <s v="Order Issued "/>
    <s v="11.04.2025"/>
    <s v="yes"/>
    <x v="0"/>
  </r>
  <r>
    <n v="88"/>
    <x v="1"/>
    <s v="29.06.2024"/>
    <s v="Public Health Department"/>
    <s v="Additional Director (SFWB) Pune 1 "/>
    <s v="24.06.2024"/>
    <n v="1"/>
    <m/>
    <s v="Tablet Capsule Phase I"/>
    <n v="51909000"/>
    <s v="NHM PIP_x000a_2024-25"/>
    <n v="51909000"/>
    <s v="Deepali Kamble"/>
    <x v="68"/>
    <s v="Order Issued "/>
    <s v="11.04.2025"/>
    <s v="yes"/>
    <x v="0"/>
  </r>
  <r>
    <n v="89"/>
    <x v="1"/>
    <s v="29.06.2024"/>
    <s v="Public Health Department"/>
    <s v="Additional Director (SFWB) Pune 1 "/>
    <s v="24.06.2024"/>
    <n v="1"/>
    <m/>
    <s v="Tablet Capsule Phase I"/>
    <s v="2,76,98,000"/>
    <s v="NHM PIP_x000a_2024-25"/>
    <s v="2,76,98,000"/>
    <s v="Deepali Kamble"/>
    <x v="68"/>
    <s v="Order Issued "/>
    <s v="16.04.2025"/>
    <s v="yes"/>
    <x v="1"/>
  </r>
  <r>
    <n v="90"/>
    <x v="0"/>
    <d v="2023-10-11T00:00:00"/>
    <s v="Public Health Department"/>
    <s v="JDHS (Hospital Cell) Mumbai"/>
    <s v="19-10-2023"/>
    <n v="1"/>
    <m/>
    <s v="Medicines &amp; Consumables for IPHS Centre (Dialysis)"/>
    <n v="317934"/>
    <s v="NHM PIP 2023-24"/>
    <n v="317934"/>
    <s v="Rutuja kamble"/>
    <x v="54"/>
    <s v="Order Issued "/>
    <s v="30.04.2025"/>
    <s v="Delivered"/>
    <x v="0"/>
  </r>
  <r>
    <n v="91"/>
    <x v="1"/>
    <d v="2025-12-03T00:00:00"/>
    <s v="Public Health Department"/>
    <s v="JDHS mumbai (HBT)"/>
    <s v="17-02-2025"/>
    <n v="1"/>
    <m/>
    <s v="Antisnake Venom Serum strerile  powder with strerile water,lyophilized sterile solution 10ml"/>
    <s v="1,36,52,285"/>
    <s v="State Budget 2023-24"/>
    <s v="1,36,52,285"/>
    <s v="Rutuja kamble"/>
    <x v="69"/>
    <s v="Order Issued "/>
    <s v="18.06.2025"/>
    <s v="yes"/>
    <x v="0"/>
  </r>
  <r>
    <n v="92"/>
    <x v="1"/>
    <s v="26-08-2024"/>
    <s v="Public Health Department"/>
    <s v="JDHS (Technical) Mumbai"/>
    <s v="26-08-2024"/>
    <n v="7"/>
    <m/>
    <s v="Reagents"/>
    <n v="16570900"/>
    <s v="15th  Finance"/>
    <n v="16701610"/>
    <s v="Rutuja kamble"/>
    <x v="70"/>
    <s v="Order Issued"/>
    <s v="24.06.2025"/>
    <s v="yes"/>
    <x v="0"/>
  </r>
  <r>
    <n v="93"/>
    <x v="0"/>
    <d v="2023-10-11T00:00:00"/>
    <s v="Public Health Department"/>
    <s v="JDHS (Hospital Cell) Mumbai"/>
    <s v="19-10-2023"/>
    <n v="1"/>
    <m/>
    <s v="Medicines &amp; Consumables for IPHS Centre (Dialysis)"/>
    <n v="6694104"/>
    <s v="NHM PIP 2023-24"/>
    <n v="6694104"/>
    <s v="Rutuja kamble"/>
    <x v="54"/>
    <s v="Order Issued "/>
    <s v="25.06.2025"/>
    <s v="no"/>
    <x v="1"/>
  </r>
  <r>
    <n v="94"/>
    <x v="1"/>
    <s v="16-10-2024"/>
    <s v="DMER, Mumbai"/>
    <s v="DMER, Mumbai"/>
    <d v="2024-09-10T00:00:00"/>
    <n v="15"/>
    <m/>
    <s v="Antiseptic and Disinfectant"/>
    <n v="38629273"/>
    <s v="State Budget 2024-25"/>
    <n v="38629273"/>
    <s v="Visave "/>
    <x v="71"/>
    <s v="Order Issued"/>
    <s v="25.06.2025_x000a_18.07.2025"/>
    <s v="yes"/>
    <x v="1"/>
  </r>
  <r>
    <n v="95"/>
    <x v="1"/>
    <s v="16-10-2024"/>
    <s v="DMER, Mumbai"/>
    <s v="DMER, Mumbai"/>
    <s v="07-10-2024_x000a_09-10-2024"/>
    <n v="26"/>
    <m/>
    <s v="Tablet Capsule"/>
    <n v="63873694"/>
    <s v="State Budget 2024-25"/>
    <n v="63873694"/>
    <s v="Aarti "/>
    <x v="72"/>
    <s v="Order Issued"/>
    <s v="25.06.2025_x000a_18.07.2025"/>
    <s v="yes"/>
    <x v="1"/>
  </r>
  <r>
    <n v="96"/>
    <x v="1"/>
    <s v="16-10-2024"/>
    <s v="DMER, Mumbai"/>
    <s v="DMER, Mumbai"/>
    <s v="07-10-2024_x000a_09-10-2024"/>
    <n v="4"/>
    <m/>
    <s v="Consubamble"/>
    <n v="6317345"/>
    <s v="State Budget 2023-24"/>
    <n v="6317345"/>
    <s v="Sachin Wankhede"/>
    <x v="73"/>
    <s v="Order Issued"/>
    <s v="24.06.2025_x000a_18.07.2025"/>
    <s v="yes"/>
    <x v="1"/>
  </r>
  <r>
    <n v="97"/>
    <x v="1"/>
    <s v="16-10-2024"/>
    <s v="DMER, Mumbai"/>
    <s v="DMER, Mumbai"/>
    <s v="07-10-2024_x000a_09-10-2024"/>
    <n v="2"/>
    <m/>
    <s v="Consubamble"/>
    <n v="2291125"/>
    <s v="State Budget 2023-24"/>
    <n v="2291125"/>
    <s v="Sachin Wankhede"/>
    <x v="74"/>
    <s v="Order Issued"/>
    <s v="25.06.2025"/>
    <s v="yes"/>
    <x v="1"/>
  </r>
  <r>
    <n v="98"/>
    <x v="1"/>
    <s v="16-10-2024"/>
    <s v="DMER, Mumbai"/>
    <s v="DMER, Mumbai"/>
    <s v="07-10-2024_x000a_09-10-2024"/>
    <n v="24"/>
    <m/>
    <s v="Injections Phase I"/>
    <n v="185611891"/>
    <s v="State Budget 2024-25"/>
    <n v="185611891"/>
    <s v="Visave "/>
    <x v="75"/>
    <s v="Order Issued"/>
    <s v="25.06.2025_x000a_18.07.2025"/>
    <s v="yes"/>
    <x v="1"/>
  </r>
  <r>
    <n v="99"/>
    <x v="1"/>
    <s v="16-10-2024"/>
    <s v="DMER, Mumbai"/>
    <s v="DMER, Mumbai"/>
    <s v="07-10-2024_x000a_09-10-2024"/>
    <n v="12"/>
    <m/>
    <s v="I V Fluid"/>
    <n v="72873359"/>
    <s v="State Budget 2024-25"/>
    <n v="72873359"/>
    <s v="Visave "/>
    <x v="76"/>
    <s v="Order Issued"/>
    <s v="25.06.2025_x000a_18.07.2025"/>
    <s v="yes"/>
    <x v="1"/>
  </r>
  <r>
    <n v="100"/>
    <x v="1"/>
    <s v="16-10-2024"/>
    <s v="DMER, Mumbai"/>
    <s v="DMER, Mumbai"/>
    <s v="07-10-2024_x000a_09-10-2024"/>
    <n v="17"/>
    <m/>
    <s v="Injections Phase II"/>
    <n v="22619903"/>
    <s v="State Budget 2024-25"/>
    <n v="22619903"/>
    <s v="Sachin Wankhede"/>
    <x v="77"/>
    <s v="Order Issued"/>
    <s v="25.06.2025_x000a_26.06.2025"/>
    <s v="yes"/>
    <x v="1"/>
  </r>
  <r>
    <n v="101"/>
    <x v="1"/>
    <s v="16-10-2024"/>
    <s v="DMER, Mumbai"/>
    <s v="DMER, Mumbai"/>
    <s v="07-10-2024_x000a_09-10-2024"/>
    <n v="8"/>
    <m/>
    <s v="Liquid Orals"/>
    <n v="10656363"/>
    <s v="State Budget 2024-25"/>
    <n v="10656363"/>
    <s v="Visave "/>
    <x v="78"/>
    <s v="Order Issued"/>
    <s v="03.01.2025_x000a_25.06.2025_x000a_30.04.2025_x000a_18.07.2025"/>
    <s v="yes"/>
    <x v="1"/>
  </r>
  <r>
    <n v="102"/>
    <x v="1"/>
    <s v="29.06.2024"/>
    <s v="Public Health Department"/>
    <s v="Additional Director (SFWB) Pune 1 "/>
    <s v="24.06.2024"/>
    <n v="1"/>
    <m/>
    <s v="Tablet Capsule Phase I"/>
    <n v="5440000"/>
    <s v="NHM PIP_x000a_2024-25"/>
    <n v="5440000"/>
    <s v="Deepali Kamble"/>
    <x v="68"/>
    <s v="Order Issued "/>
    <d v="2025-04-07T00:00:00"/>
    <s v="yes"/>
    <x v="0"/>
  </r>
  <r>
    <n v="103"/>
    <x v="1"/>
    <s v="29.06.2024"/>
    <s v="Public Health Department"/>
    <s v="Additional Director (SFWB) Pune 1 "/>
    <s v="24.06.2024"/>
    <n v="1"/>
    <m/>
    <s v="Oral Liquid  /Ointment"/>
    <n v="39312000"/>
    <s v="NHM PIP_x000a_2024-25"/>
    <n v="39312000"/>
    <s v="Deepali Kamble"/>
    <x v="62"/>
    <s v="Order Issued "/>
    <d v="2025-04-07T00:00:00"/>
    <s v="yes"/>
    <x v="0"/>
  </r>
  <r>
    <n v="104"/>
    <x v="1"/>
    <s v="29.06.2024"/>
    <s v="Public Health Department"/>
    <s v="Additional Director (SFWB) Pune 1 "/>
    <s v="24.06.2024"/>
    <n v="1"/>
    <m/>
    <s v="Oral Liquid  /Ointment"/>
    <n v="18950257"/>
    <s v="NHM PIP_x000a_2024-25"/>
    <n v="18950257"/>
    <s v="Deepali Kamble"/>
    <x v="62"/>
    <s v="Order Issued "/>
    <d v="2025-04-07T00:00:00"/>
    <s v="yes"/>
    <x v="0"/>
  </r>
  <r>
    <n v="105"/>
    <x v="1"/>
    <s v="16-10-2024"/>
    <s v="DMER, Mumbai"/>
    <s v="DMER, Mumbai"/>
    <s v="09-10-2024_x000a_05-09-2023"/>
    <n v="1"/>
    <m/>
    <s v="Dental Medicine and Material"/>
    <n v="1294800"/>
    <s v="State Budget 2024-25"/>
    <n v="1294800"/>
    <s v="Aarti "/>
    <x v="79"/>
    <s v="Order Issued "/>
    <s v="24.07.2025"/>
    <s v="yes"/>
    <x v="1"/>
  </r>
  <r>
    <n v="106"/>
    <x v="1"/>
    <s v="16-10-2024"/>
    <s v="DMER, Mumbai"/>
    <s v="DMER, Mumbai"/>
    <s v="07-10-2024_x000a_09-10-2024"/>
    <n v="27"/>
    <m/>
    <s v="Surgical Drug"/>
    <n v="62995494"/>
    <s v="State Budget 2024-25"/>
    <n v="62995494"/>
    <s v="Sachin Wankhede"/>
    <x v="80"/>
    <s v="Order Issued "/>
    <s v="24.07.2025_x000a_30.07.2025"/>
    <s v="yes"/>
    <x v="1"/>
  </r>
  <r>
    <n v="107"/>
    <x v="1"/>
    <s v="16-10-2024"/>
    <s v="DMER, Mumbai"/>
    <s v="DMER, Mumbai"/>
    <s v="07-10-2024_x000a_09-10-2024"/>
    <n v="7"/>
    <m/>
    <s v="Surgical Dressing Material"/>
    <n v="16783212"/>
    <s v="State Budget 2024-25"/>
    <n v="16783212"/>
    <s v="Visave "/>
    <x v="81"/>
    <s v="Order Issued "/>
    <s v="24.07.2025_x000a_31.07.2025_x000a_22.08.2025"/>
    <s v="yes"/>
    <x v="1"/>
  </r>
  <r>
    <n v="108"/>
    <x v="1"/>
    <d v="2025-12-03T00:00:00"/>
    <s v="Public Health Department"/>
    <s v="JDHS mumbai (HBT)"/>
    <s v="17-02-2025"/>
    <n v="2"/>
    <m/>
    <s v="Metformin Tab 500 mg_x000a_Syp Paracetamol 60 mg"/>
    <s v="2,61,53,536"/>
    <s v="State Budget 2023-24"/>
    <s v="2,61,53,536"/>
    <s v="Rutuja kamble"/>
    <x v="69"/>
    <s v="Order Issued "/>
    <s v="25-07-2025"/>
    <s v="yes"/>
    <x v="1"/>
  </r>
  <r>
    <n v="109"/>
    <x v="1"/>
    <s v="10.02.2025"/>
    <s v="Public Health Department"/>
    <s v="JDHS (TB, BCG) Pune"/>
    <s v="03.12.2024"/>
    <n v="9"/>
    <m/>
    <s v="TB Patent-Consumbales"/>
    <s v="1,63,34,810"/>
    <s v="NHM PIP_x000a_2024-25"/>
    <s v="1,63,34,810"/>
    <s v="Rutuja kamble"/>
    <x v="82"/>
    <s v="Order Issued"/>
    <s v="28-07-2025"/>
    <s v="Delivered"/>
    <x v="0"/>
  </r>
  <r>
    <n v="110"/>
    <x v="0"/>
    <d v="2024-08-02T00:00:00"/>
    <s v="Public Health Department"/>
    <s v="JDHS (Hospital Cell) Mumbai"/>
    <s v="27-12-2023"/>
    <n v="1"/>
    <m/>
    <s v="syp azithromycin 200 mg/5ml"/>
    <s v="12,26,497"/>
    <s v="State Budget 2023-24"/>
    <n v="1226497"/>
    <s v="Rohan Patekar"/>
    <x v="83"/>
    <s v="Order Issued"/>
    <s v="24-07-2025"/>
    <m/>
    <x v="2"/>
  </r>
  <r>
    <n v="111"/>
    <x v="1"/>
    <s v="10.02.2025"/>
    <s v="Public Health Department"/>
    <s v="JDHS (TB, BCG) Pune"/>
    <s v="03.12.2024"/>
    <n v="14"/>
    <m/>
    <s v="TB Patent-Consumbales"/>
    <s v="3,05,11,075"/>
    <s v="NHM PIP_x000a_2024-25"/>
    <s v="3,05,11,075"/>
    <s v="Rutuja kamble"/>
    <x v="82"/>
    <s v="Order Issued"/>
    <s v="29-07-2025"/>
    <s v="yes"/>
    <x v="0"/>
  </r>
  <r>
    <n v="112"/>
    <x v="3"/>
    <s v="13-05-2025"/>
    <s v="Public Health Department"/>
    <s v="JDHS mumbai"/>
    <s v="21-04-2025"/>
    <n v="1"/>
    <m/>
    <s v="Extended Half Life Factor VIII 500 IU/Vial"/>
    <s v="4,49,91,135"/>
    <s v="State Budget_x000a_ 2023-24"/>
    <s v="4,49,91,135"/>
    <s v="Rohan Patekar"/>
    <x v="84"/>
    <s v="Order Issued"/>
    <s v="30-07-2025"/>
    <m/>
    <x v="2"/>
  </r>
  <r>
    <n v="113"/>
    <x v="1"/>
    <s v="29-06-2024"/>
    <s v="Public Health Department"/>
    <s v="Additional Director (SFWB) Pune 1"/>
    <s v="24-06-2024"/>
    <n v="1"/>
    <m/>
    <s v="Uterine Balloon Tamponade"/>
    <n v="15000000"/>
    <s v="NHM PIP 2024-25"/>
    <n v="15000000"/>
    <s v="Rutuja kamble"/>
    <x v="85"/>
    <s v="Order Issued"/>
    <d v="2025-06-08T00:00:00"/>
    <s v="yes"/>
    <x v="0"/>
  </r>
  <r>
    <n v="114"/>
    <x v="1"/>
    <s v="29-06-2024"/>
    <s v="Public Health Departmenet"/>
    <s v="Additional Director (SFWB) Pune 1"/>
    <s v="24-06-2024"/>
    <n v="2"/>
    <m/>
    <s v="Surgical Sutures"/>
    <n v="3967600"/>
    <s v="NHM PIP 2024-25"/>
    <n v="3967600"/>
    <s v="Deepali Kamble"/>
    <x v="86"/>
    <s v="Order Issued"/>
    <d v="2025-07-08T00:00:00"/>
    <s v="yes"/>
    <x v="1"/>
  </r>
  <r>
    <n v="115"/>
    <x v="1"/>
    <s v="29-06-2024"/>
    <s v="Public Health Departmenet"/>
    <s v="Additional Director (SFWB) Pune 1"/>
    <s v="24-06-2024"/>
    <n v="4"/>
    <m/>
    <s v="Surgical Drug "/>
    <n v="19791775"/>
    <s v="NHM PIP 2024-25"/>
    <n v="19791775"/>
    <s v="Deepali Kamble"/>
    <x v="87"/>
    <s v="Order Issued"/>
    <d v="2025-07-08T00:00:00"/>
    <s v="yes"/>
    <x v="1"/>
  </r>
  <r>
    <n v="116"/>
    <x v="1"/>
    <s v="29-06-2024"/>
    <s v="Public Health Departmenet"/>
    <s v="Additional Director (SFWB) Pune 1"/>
    <s v="24-06-2024"/>
    <n v="3"/>
    <m/>
    <s v="I V Fluids"/>
    <n v="69150590"/>
    <s v="NHM PIP 2023-24 "/>
    <n v="69150590"/>
    <s v="Deepali Kamble"/>
    <x v="88"/>
    <s v="Order Issued"/>
    <d v="2025-07-08T00:00:00"/>
    <s v="yes"/>
    <x v="1"/>
  </r>
  <r>
    <n v="117"/>
    <x v="1"/>
    <s v="29-06-2024"/>
    <s v="Public Health Departmenet"/>
    <s v="Additional Director (SFWB) Pune 1"/>
    <s v="24-06-2024"/>
    <n v="1"/>
    <m/>
    <s v="Surgical Non drug"/>
    <n v="1806000"/>
    <s v="NHM PIP 2023-24 "/>
    <n v="1806000"/>
    <s v="Deepali Kamble"/>
    <x v="89"/>
    <s v="Order Issued"/>
    <d v="2025-07-08T00:00:00"/>
    <s v="yes"/>
    <x v="1"/>
  </r>
  <r>
    <n v="118"/>
    <x v="0"/>
    <d v="2023-07-10T00:00:00"/>
    <s v="Public Health Department"/>
    <s v="JDHS (NCD) Mumbai"/>
    <s v="24-03-2023"/>
    <n v="8"/>
    <s v="1398 to 1410"/>
    <s v="NCD Medicines &amp; Consumables"/>
    <n v="78951280"/>
    <s v="NHM PIP 2023-25"/>
    <n v="118616892"/>
    <s v="Ajit Gaikwad"/>
    <x v="90"/>
    <s v="Order Issued"/>
    <d v="2025-07-08T00:00:00"/>
    <s v="yes"/>
    <x v="1"/>
  </r>
  <r>
    <n v="119"/>
    <x v="0"/>
    <s v="22-09-2023"/>
    <s v="Public Health Department"/>
    <s v="JDHS (Hospital Cell) Mumbai"/>
    <d v="2023-04-09T00:00:00"/>
    <n v="1"/>
    <m/>
    <s v="Hepatitis B Vaccine"/>
    <n v="17999868"/>
    <s v="NHM PIP 2023-24"/>
    <n v="18000000"/>
    <s v="Deepali Kamble"/>
    <x v="91"/>
    <s v="Order Issued"/>
    <d v="2025-07-08T00:00:00"/>
    <m/>
    <x v="2"/>
  </r>
  <r>
    <n v="120"/>
    <x v="1"/>
    <s v="29-06-2024"/>
    <s v="Public Health Departmenet"/>
    <s v="Additional Director (SFWB) Pune 1"/>
    <s v="24-06-2024"/>
    <n v="1"/>
    <m/>
    <s v="Surgical Sutures"/>
    <n v="4179103"/>
    <s v="NHM PIP 2024-25"/>
    <n v="4179103"/>
    <s v="Deepali Kamble"/>
    <x v="86"/>
    <s v="Order Issued"/>
    <d v="2025-11-08T00:00:00"/>
    <s v="Partially Delivered"/>
    <x v="1"/>
  </r>
  <r>
    <n v="121"/>
    <x v="1"/>
    <s v="16-10-2024"/>
    <s v="DMER, Mumbai"/>
    <s v="DMER, Mumbai"/>
    <s v="09-10-2024_x000a_05-09-2023_x000a_14-02-2024"/>
    <n v="9"/>
    <m/>
    <s v="Surgical Non Drug"/>
    <n v="15049485"/>
    <s v="State Budget 2024-25"/>
    <n v="15049485"/>
    <s v="Visave "/>
    <x v="92"/>
    <s v="Order Issued"/>
    <s v="22-08-2025"/>
    <s v="yes"/>
    <x v="1"/>
  </r>
  <r>
    <n v="122"/>
    <x v="0"/>
    <s v="15-02-2024"/>
    <s v="Public Health Department"/>
    <s v="JDHS (Proc- Cell) Mumbai"/>
    <d v="2024-12-02T00:00:00"/>
    <n v="1"/>
    <m/>
    <s v="Medicines IV"/>
    <s v="87,96,450"/>
    <s v="NHM PIP 2023-24"/>
    <s v="87,96,450"/>
    <s v="Deepali Kamble"/>
    <x v="93"/>
    <s v="Order Issued"/>
    <s v="22-08-2025"/>
    <s v="yes"/>
    <x v="1"/>
  </r>
  <r>
    <n v="123"/>
    <x v="0"/>
    <s v="15-02-2024"/>
    <s v="Public Health Department"/>
    <s v="JDHS (Proc- Cell) Mumbai"/>
    <d v="2024-12-02T00:00:00"/>
    <n v="2"/>
    <m/>
    <s v="Injections"/>
    <n v="16679900"/>
    <s v="NHM PIP 2023-24"/>
    <n v="16679900"/>
    <s v="Deepali Kamble"/>
    <x v="94"/>
    <s v="Order Issued"/>
    <s v="22-08-2025"/>
    <s v="yes"/>
    <x v="1"/>
  </r>
  <r>
    <n v="124"/>
    <x v="0"/>
    <s v="15-02-2024"/>
    <s v="Public Health Department"/>
    <s v="JDHS (Proc- Cell) Mumbai"/>
    <d v="2024-12-02T00:00:00"/>
    <n v="4"/>
    <m/>
    <s v="I V Fluids"/>
    <n v="71917967"/>
    <s v="NHM PIP 2023-24"/>
    <n v="71917967"/>
    <s v="Deepali Kamble"/>
    <x v="95"/>
    <s v="Order Issued"/>
    <s v="22-08-2025"/>
    <s v="yes"/>
    <x v="1"/>
  </r>
  <r>
    <n v="125"/>
    <x v="0"/>
    <s v="15-02-2024"/>
    <s v="Public Health Department"/>
    <s v="JDHS (Proc- Cell) Mumbai"/>
    <d v="2024-12-02T00:00:00"/>
    <n v="1"/>
    <m/>
    <s v="Ringer Lactate inj IV 500ml"/>
    <s v="3,40,20,000"/>
    <s v="NHM PIP 2023-24"/>
    <s v="3,40,20,000"/>
    <s v="Deepali Kamble"/>
    <x v="96"/>
    <s v="Order Issued"/>
    <s v="22-08-2025"/>
    <s v="yes"/>
    <x v="1"/>
  </r>
  <r>
    <n v="126"/>
    <x v="0"/>
    <s v="15-02-2024"/>
    <s v="Public Health Department"/>
    <s v="JDHS (Proc- Cell) Mumbai"/>
    <d v="2024-12-02T00:00:00"/>
    <n v="1"/>
    <m/>
    <s v="Anti Rabies Vaccine ID (Human Tissue culture) 0.5ml"/>
    <s v="9,24,00,000"/>
    <s v="NHM PIP 2023-24"/>
    <s v="9,24,00,000"/>
    <s v="Deepali Kamble"/>
    <x v="97"/>
    <s v="Order Issued"/>
    <s v="22-08-2026"/>
    <s v="Not Delivered"/>
    <x v="1"/>
  </r>
  <r>
    <n v="127"/>
    <x v="0"/>
    <s v="15-02-2024"/>
    <s v="Public Health Department"/>
    <s v="JDHS (Proc- Cell) Mumbai"/>
    <d v="2024-12-02T00:00:00"/>
    <n v="1"/>
    <m/>
    <s v="Rabies Human Monoclonal Antibody (r-DNA orogin) 100 IU/2.5ml"/>
    <s v="86,26,950"/>
    <s v="NHM PIP 2023-24"/>
    <s v="86,26,950"/>
    <s v="Deepali Kamble"/>
    <x v="98"/>
    <s v="Order Issued"/>
    <s v="22-08-2027"/>
    <s v="yes"/>
    <x v="1"/>
  </r>
  <r>
    <n v="128"/>
    <x v="0"/>
    <s v="15-02-2024"/>
    <s v="Public Health Department"/>
    <s v="JDHS (Proc- Cell) Mumbai"/>
    <d v="2024-12-02T00:00:00"/>
    <n v="2"/>
    <m/>
    <s v="Protease Based Enzymatic Cleaner 1 ltr &amp; Benzalkonium Chloride IP 500ml "/>
    <n v="10093100"/>
    <s v="NHM PIP 2023-24"/>
    <n v="10093100"/>
    <s v="Deepali Kamble"/>
    <x v="99"/>
    <s v="Order Issued"/>
    <s v="22-08-2028"/>
    <s v="yes"/>
    <x v="0"/>
  </r>
  <r>
    <n v="129"/>
    <x v="0"/>
    <s v="15-02-2024"/>
    <s v="Public Health Department"/>
    <s v="JDHS (Proc- Cell) Mumbai"/>
    <d v="2024-12-02T00:00:00"/>
    <n v="1"/>
    <m/>
    <s v="Polymeric Biguanide Hydrochloride Solution"/>
    <s v="2,37,54,440"/>
    <s v="NHM PIP 2023-24"/>
    <s v="2,37,54,440"/>
    <s v="Deepali Kamble"/>
    <x v="100"/>
    <s v="Order Issued"/>
    <s v="22-08-2029"/>
    <s v="no"/>
    <x v="1"/>
  </r>
  <r>
    <n v="130"/>
    <x v="0"/>
    <s v="15-02-2024"/>
    <s v="Public Health Department"/>
    <s v="JDHS (Proc- Cell) Mumbai"/>
    <d v="2024-12-02T00:00:00"/>
    <n v="1"/>
    <m/>
    <s v="Cyanocobalamine Inj. 1000mcg/ml 10 ml Vial"/>
    <s v="64,79,000"/>
    <s v="NHM PIP 2023-24"/>
    <s v="64,79,000"/>
    <s v="Deepali Kamble"/>
    <x v="101"/>
    <s v="Order Issued"/>
    <s v="22-08-2030"/>
    <s v="yes"/>
    <x v="1"/>
  </r>
  <r>
    <n v="131"/>
    <x v="1"/>
    <s v="29-06-2024"/>
    <s v="Public Health Departmenet"/>
    <s v="Additional Director (SFWB) Pune 1"/>
    <s v="24-06-2024"/>
    <n v="2"/>
    <m/>
    <s v="Oral Liquid  /Ointment"/>
    <n v="21627200"/>
    <s v="NHM PIP 2024-25"/>
    <n v="21627200"/>
    <s v="Deepali Kamble"/>
    <x v="62"/>
    <s v="Order Issued"/>
    <s v="22-08-2025"/>
    <s v="yes"/>
    <x v="1"/>
  </r>
  <r>
    <n v="132"/>
    <x v="1"/>
    <s v="29-06-2024"/>
    <s v="Public Health Departmenet"/>
    <s v="Additional Director (SFWB) Pune 1"/>
    <s v="24-06-2024"/>
    <n v="5"/>
    <m/>
    <s v="Tablet Capsule Phase I"/>
    <s v="11,45,65,157"/>
    <s v="NHM PIP 2024-25"/>
    <s v="11,45,65,157"/>
    <s v="Deepali Kamble"/>
    <x v="68"/>
    <s v="Order Issued"/>
    <s v="22-08-2025"/>
    <s v="Partially Delivered"/>
    <x v="1"/>
  </r>
  <r>
    <n v="133"/>
    <x v="1"/>
    <s v="29-06-2024"/>
    <s v="Public Health Departmenet"/>
    <s v="Additional Director (SFWB) Pune 1"/>
    <s v="24-06-2024"/>
    <n v="11"/>
    <m/>
    <s v="Injection  Phase II"/>
    <s v="7,50,31,351"/>
    <s v="NHM PIP 2024-25"/>
    <s v="7,50,31,351"/>
    <s v="Deepali Kamble"/>
    <x v="102"/>
    <s v="Order Issued"/>
    <s v="22-08-2025"/>
    <s v="Partially Delivered"/>
    <x v="1"/>
  </r>
  <r>
    <n v="134"/>
    <x v="1"/>
    <s v="29-06-2024"/>
    <s v="Public Health Departmenet"/>
    <s v="Additional Director (SFWB) Pune 1"/>
    <s v="24-06-2024"/>
    <n v="8"/>
    <m/>
    <s v="Injection Phase I"/>
    <n v="80927664"/>
    <s v="NHM PIP 2024-25"/>
    <n v="80927664"/>
    <s v="Deepali Kamble"/>
    <x v="103"/>
    <s v="Order Issued"/>
    <s v="22-08-2025"/>
    <s v="Partially Delivered"/>
    <x v="1"/>
  </r>
  <r>
    <n v="135"/>
    <x v="1"/>
    <s v="16-10-2024"/>
    <s v="DMER, Mumbai"/>
    <s v="DMER, Mumbai"/>
    <s v="07-10-2024_x000a_09-10-2024"/>
    <n v="8"/>
    <m/>
    <s v="Surgical Suture and Stapler"/>
    <n v="20837090"/>
    <s v="State Budget 2024-25"/>
    <n v="20837090"/>
    <s v="Visave "/>
    <x v="104"/>
    <s v="Order Issued"/>
    <d v="2025-04-09T00:00:00"/>
    <s v="yes"/>
    <x v="1"/>
  </r>
  <r>
    <n v="136"/>
    <x v="1"/>
    <s v="23-06-2024"/>
    <s v="Public Health"/>
    <s v="JDHS(Technical)_x000a_NHM Mumbai"/>
    <s v="23-02-2024"/>
    <n v="5"/>
    <s v="1492 to 1501"/>
    <s v="Injectables Phase II"/>
    <n v="22881992"/>
    <s v="NHM PIP(2023-24)_x000a_+_x000a_15 Finance"/>
    <n v="22881992"/>
    <s v="Rohan Patekar"/>
    <x v="105"/>
    <s v="Order Issued"/>
    <d v="2025-04-09T00:00:00"/>
    <s v="yes"/>
    <x v="1"/>
  </r>
  <r>
    <n v="137"/>
    <x v="1"/>
    <s v="23-06-2024"/>
    <s v="Public Health"/>
    <s v="JDHS(Technical)"/>
    <s v="23-02-2024"/>
    <n v="15"/>
    <s v="1503 to 1532"/>
    <s v="Tablets Capsule Phase III"/>
    <n v="37679610"/>
    <s v="NHM PIP(2023-24)_x000a_+_x000a_15 Finance"/>
    <n v="37679610"/>
    <s v="Rohan Patekar"/>
    <x v="106"/>
    <s v="Order Issued"/>
    <d v="2025-05-09T00:00:00"/>
    <s v="yes"/>
    <x v="1"/>
  </r>
  <r>
    <n v="138"/>
    <x v="1"/>
    <s v="23-06-2024"/>
    <s v="Public Health"/>
    <s v="JDHS(Technical)"/>
    <s v="23-02-2024"/>
    <n v="11"/>
    <s v="1533 to 1560"/>
    <s v="Tablets Capsule Phase II"/>
    <n v="102628086"/>
    <s v="NHM PIP(2023-24)_x000a_+_x000a_15 Finance"/>
    <n v="102628086"/>
    <s v="Rohan Patekar"/>
    <x v="107"/>
    <s v="Order Issued"/>
    <d v="2025-11-09T00:00:00"/>
    <s v="yes"/>
    <x v="1"/>
  </r>
  <r>
    <n v="139"/>
    <x v="1"/>
    <s v="29-06-2024"/>
    <s v="Public Health Departmenet"/>
    <s v="Additional Director (SFWB) Pune 1"/>
    <s v="24-06-2024"/>
    <n v="2"/>
    <m/>
    <s v="Oral Liquid  /Ointment"/>
    <n v="15894900"/>
    <s v="NHM PIP 2024-25"/>
    <n v="15894900"/>
    <s v="Deepali Kamble"/>
    <x v="62"/>
    <s v="Order Issued"/>
    <s v="24-09-2025"/>
    <s v="Partially Delivered"/>
    <x v="1"/>
  </r>
  <r>
    <n v="140"/>
    <x v="1"/>
    <s v="29-06-2024"/>
    <s v="Public Health Departmenet"/>
    <s v="Additional Director (SFWB) Pune 1"/>
    <s v="24-06-2024"/>
    <n v="4"/>
    <m/>
    <s v="Tablet Capsule Phase I"/>
    <n v="18292050"/>
    <s v="NHM PIP 2024-25"/>
    <n v="18292050"/>
    <s v="Deepali Kamble"/>
    <x v="68"/>
    <s v="Order Issued"/>
    <d v="2025-07-10T00:00:00"/>
    <s v="Partially Delivered"/>
    <x v="1"/>
  </r>
  <r>
    <n v="141"/>
    <x v="0"/>
    <s v="15-02-2024"/>
    <s v="Public Health Department"/>
    <s v="JDHS (Proc- Cell) Mumbai"/>
    <d v="2024-12-02T00:00:00"/>
    <n v="2"/>
    <m/>
    <s v="Injections"/>
    <n v="17778831"/>
    <s v="NHM PIP 2023-24"/>
    <n v="17778831"/>
    <s v="Deepali Kamble"/>
    <x v="94"/>
    <s v="Order Issued"/>
    <d v="2025-09-10T00:00:00"/>
    <s v="Partially Delivered"/>
    <x v="1"/>
  </r>
  <r>
    <n v="142"/>
    <x v="1"/>
    <s v="29-06-2024"/>
    <s v="Public Health Departmenet"/>
    <s v="Additional Director (SFWB) Pune 1"/>
    <s v="24-06-2024"/>
    <n v="3"/>
    <m/>
    <s v="Injection Phase I"/>
    <n v="5174500"/>
    <s v="NHM PIP 2024-25"/>
    <n v="5174500"/>
    <s v="Deepali Kamble"/>
    <x v="103"/>
    <s v="Order Issued"/>
    <d v="2025-09-10T00:00:00"/>
    <s v="Partially Delivered"/>
    <x v="1"/>
  </r>
  <r>
    <n v="143"/>
    <x v="3"/>
    <s v="19-06-2025"/>
    <s v="Public Health Department"/>
    <s v="JDHS (Hospital Cell) Mumbai"/>
    <d v="2025-12-06T00:00:00"/>
    <n v="1"/>
    <m/>
    <s v="HBPCL Reserved Items"/>
    <s v="37,82,244"/>
    <s v="State Budget 2025-26"/>
    <s v="37,82,244"/>
    <s v="Deepali Kamble"/>
    <x v="0"/>
    <s v="Order Issued"/>
    <d v="2025-09-10T00:00:00"/>
    <s v="Partially Delivered"/>
    <x v="1"/>
  </r>
  <r>
    <n v="144"/>
    <x v="3"/>
    <s v="19-06-2025"/>
    <s v="Public Health Department"/>
    <s v="JDHS (Hospital Cell) Mumbai"/>
    <d v="2025-12-06T00:00:00"/>
    <n v="4"/>
    <m/>
    <s v="HBPCL Reserved Items"/>
    <n v="133497947"/>
    <s v="State Budget 2025-26"/>
    <n v="133497947"/>
    <s v="Deepali Kamble"/>
    <x v="0"/>
    <s v="Order Issued"/>
    <d v="2025-10-10T00:00:00"/>
    <s v="Partially Delivered"/>
    <x v="1"/>
  </r>
  <r>
    <n v="145"/>
    <x v="1"/>
    <s v="16-10-2024"/>
    <s v="DMER, Mumbai"/>
    <s v="DMER, Mumbai"/>
    <d v="2024-09-10T00:00:00"/>
    <n v="11"/>
    <m/>
    <s v="Diagnostic Kits Phase-I"/>
    <n v="24192483"/>
    <s v="State Budget 2024-25"/>
    <n v="24192483"/>
    <s v="Visave "/>
    <x v="108"/>
    <s v="Order Issued"/>
    <d v="2025-10-10T00:00:00"/>
    <s v="yes"/>
    <x v="1"/>
  </r>
  <r>
    <n v="146"/>
    <x v="0"/>
    <s v="29-02-2024"/>
    <s v="DMER, Mumbai"/>
    <s v="DMER, Mumbai"/>
    <s v="5-09-2023, 14-02-2024, 15-02-2024,_x000a_09-10-24,_x000a_07-10-24."/>
    <n v="18"/>
    <m/>
    <s v="Consumables for MSME reserved manufacturers "/>
    <n v="338209689"/>
    <s v="State Budget 2023-24"/>
    <n v="338209689"/>
    <s v="Sachin Wankhede"/>
    <x v="109"/>
    <s v="Order Issued"/>
    <s v="27-10-2025"/>
    <s v="yes"/>
    <x v="1"/>
  </r>
  <r>
    <n v="147"/>
    <x v="0"/>
    <d v="2024-08-02T00:00:00"/>
    <s v="Public Health Department"/>
    <s v="JDHS (Hospital Cell) Mumbai"/>
    <s v="27-12-2023"/>
    <n v="4"/>
    <m/>
    <s v="Consumables for MSME reserved manufacturers "/>
    <n v="20704739"/>
    <s v="State Budget 2023-24"/>
    <n v="20704739"/>
    <s v="Sachin Wankhede"/>
    <x v="109"/>
    <s v="Order Issued"/>
    <s v="27-10-2025"/>
    <m/>
    <x v="2"/>
  </r>
  <r>
    <n v="148"/>
    <x v="0"/>
    <s v="15-02-2024"/>
    <s v="Public Health Department"/>
    <s v="JDHS (Proc- Cell) Mumbai"/>
    <d v="2024-12-02T00:00:00"/>
    <n v="1"/>
    <m/>
    <s v="Medicines IV"/>
    <s v="61,34,960"/>
    <s v="NHM PIP 2023-24"/>
    <s v="61,34,960"/>
    <s v="Deepali Kamble"/>
    <x v="93"/>
    <s v="Order Issued"/>
    <s v="29-10-2025"/>
    <s v="Partially Delivered"/>
    <x v="1"/>
  </r>
  <r>
    <n v="149"/>
    <x v="1"/>
    <s v="23-06-2024"/>
    <s v="Public Health"/>
    <s v="JDHS(Technical)"/>
    <s v="23-02-2024"/>
    <n v="2"/>
    <s v="1654 to 1663"/>
    <s v="Tablets Capsule Phase II"/>
    <n v="24757771"/>
    <s v="NHM PIP(2023-24)_x000a_+_x000a_15 Finance"/>
    <n v="24757771"/>
    <s v="Rohan Patekar"/>
    <x v="107"/>
    <s v="Order Issued"/>
    <s v="29-10-2025"/>
    <s v="yes"/>
    <x v="1"/>
  </r>
  <r>
    <n v="150"/>
    <x v="1"/>
    <s v="29-06-2024"/>
    <s v="Public Health Departmenet"/>
    <s v="Additional Director (SFWB) Pune 1"/>
    <s v="24-06-2024"/>
    <n v="2"/>
    <m/>
    <s v="Injection Phase I"/>
    <s v="1,65,24,945"/>
    <s v="NHM PIP 2024-25"/>
    <s v="1,65,24,945"/>
    <s v="Deepali Kamble"/>
    <x v="103"/>
    <s v="Order Issued"/>
    <s v="29-10-2025"/>
    <s v="Partially Delivered"/>
    <x v="1"/>
  </r>
  <r>
    <n v="151"/>
    <x v="0"/>
    <s v="15-02-2024"/>
    <s v="Public Health Department"/>
    <s v="JDHS (Proc- Cell) Mumbai"/>
    <d v="2024-12-02T00:00:00"/>
    <n v="3"/>
    <m/>
    <s v="Consumables"/>
    <s v="17,48,538"/>
    <s v="NHM PIP 2023-24"/>
    <s v="17,48,538"/>
    <s v="Deepali Kamble"/>
    <x v="110"/>
    <s v="Order Issued"/>
    <s v="30-10-2025"/>
    <s v="Partially Delivered"/>
    <x v="1"/>
  </r>
  <r>
    <n v="152"/>
    <x v="1"/>
    <d v="2025-12-03T00:00:00"/>
    <s v="Public Health Department"/>
    <s v="JDHS mumbai (HBT)"/>
    <s v="17-02-2025"/>
    <n v="34"/>
    <m/>
    <s v="Medicines"/>
    <n v="49326448"/>
    <s v="State Budget 2023-24"/>
    <n v="49326448"/>
    <s v="Rutuja kamble"/>
    <x v="34"/>
    <s v="Order Issued"/>
    <d v="2025-07-11T00:00:00"/>
    <m/>
    <x v="1"/>
  </r>
  <r>
    <n v="153"/>
    <x v="1"/>
    <s v="26-08-2024"/>
    <s v="Public Health Department"/>
    <s v="JDHS (Technical) Mumbai"/>
    <s v="26-08-2024"/>
    <n v="15"/>
    <s v="1669-"/>
    <s v="Hospital Consumables_x000a_(Bunch Bid)"/>
    <n v="111904258"/>
    <s v="15 Finance"/>
    <s v="11,19,00,411"/>
    <s v="Rutuja kamble"/>
    <x v="111"/>
    <s v="Order Issued"/>
    <d v="2025-07-11T00:00:00"/>
    <s v="yes"/>
    <x v="1"/>
  </r>
  <r>
    <n v="154"/>
    <x v="1"/>
    <s v="28-01-2025"/>
    <s v="Public Health Departmenet"/>
    <s v="JDHS (Technical) NHM Mumbai "/>
    <s v="13-09-2024"/>
    <n v="1"/>
    <m/>
    <s v="Salt Testing Kit"/>
    <n v="2392140"/>
    <s v="15 Finance"/>
    <s v="23,92,137"/>
    <s v="Rutuja kamble"/>
    <x v="112"/>
    <s v="Order Issued"/>
    <d v="2025-07-11T00:00:00"/>
    <s v="yes"/>
    <x v="0"/>
  </r>
  <r>
    <n v="155"/>
    <x v="1"/>
    <s v="23-06-2024"/>
    <s v="Public Health"/>
    <s v="JDHS(Technical)"/>
    <s v="23-02-2024"/>
    <n v="1"/>
    <s v="1719 to 1722"/>
    <s v="Tablet Cap "/>
    <n v="9683714"/>
    <s v="NHM PIP(2023-24)_x000a_+_x000a_15 Finance"/>
    <n v="9683714"/>
    <s v="Rohan Patekar"/>
    <x v="107"/>
    <s v="Order Issued"/>
    <d v="2025-07-11T00:00:00"/>
    <s v="yes"/>
    <x v="1"/>
  </r>
  <r>
    <n v="156"/>
    <x v="1"/>
    <s v="23-06-2024"/>
    <s v="Public Health"/>
    <s v="JDHS(Technical)"/>
    <s v="23-02-2024"/>
    <n v="4"/>
    <s v="1736 to 1747"/>
    <s v="Oral, Liquid, Syrup"/>
    <n v="67308978"/>
    <s v="NHM PIP(2023-24)_x000a_+_x000a_15 Finance"/>
    <n v="67308978"/>
    <s v="Rohan Patekar"/>
    <x v="113"/>
    <s v="Order Issued"/>
    <d v="2025-08-11T00:00:00"/>
    <s v="no"/>
    <x v="1"/>
  </r>
  <r>
    <n v="157"/>
    <x v="0"/>
    <s v="15-02-2024"/>
    <s v="Public Health Department"/>
    <s v="JDHS (Proc- Cell) Mumbai"/>
    <d v="2024-12-02T00:00:00"/>
    <n v="4"/>
    <s v="1748-1751"/>
    <s v="HBPCL Reserved Items"/>
    <s v="13,20,34,919"/>
    <s v="NHM PIP 2023-24"/>
    <s v="13,20,34,919"/>
    <s v="Deepali Kamble"/>
    <x v="114"/>
    <s v="Order Issued"/>
    <d v="2025-11-11T00:00:00"/>
    <s v="Partially Delivered"/>
    <x v="1"/>
  </r>
  <r>
    <n v="158"/>
    <x v="1"/>
    <s v="16-10-2024"/>
    <s v="DMER, Mumbai"/>
    <s v="DMER, Mumbai"/>
    <s v="07-10-2024_x000a_09-10-2024"/>
    <n v="9"/>
    <m/>
    <s v="Miscellaneous Medicine"/>
    <n v="26720410"/>
    <s v="State Budget_x000a_ DMER  2024-25"/>
    <n v="26720410"/>
    <s v="Aarti "/>
    <x v="115"/>
    <s v="Order Issued"/>
    <s v="04-11.2025"/>
    <s v="yes"/>
    <x v="1"/>
  </r>
  <r>
    <n v="159"/>
    <x v="1"/>
    <s v="16-10-2024"/>
    <s v="DMER, Mumbai"/>
    <s v="DMER, Mumbai"/>
    <s v="09-10-2024_x000a_05-09-2023_x000a_14-02-2024"/>
    <n v="15"/>
    <s v="1755-1773"/>
    <s v="Lab Material "/>
    <s v="1,15,42,400"/>
    <s v="State Budget_x000a_ DMER  2024-25"/>
    <s v="1,15,42,400"/>
    <s v="Visave "/>
    <x v="116"/>
    <s v="Order Issued"/>
    <s v="19-11-2025"/>
    <s v="yes"/>
    <x v="1"/>
  </r>
  <r>
    <n v="160"/>
    <x v="3"/>
    <s v="19-06-2025"/>
    <s v="Public Health Department"/>
    <s v="JDHS (Proc- Cell) Mumbai"/>
    <n v="45997"/>
    <n v="1"/>
    <n v="1774"/>
    <s v="Bandage Cloth as per Schedule F-II than   100 cm x 20 mtr"/>
    <n v="47119118"/>
    <s v="State Budget 2025-26"/>
    <n v="47119118"/>
    <s v="Deepali Kamble"/>
    <x v="117"/>
    <s v="Order Issued"/>
    <s v="21-11-2025"/>
    <s v="no"/>
    <x v="3"/>
  </r>
  <r>
    <n v="161"/>
    <x v="3"/>
    <s v="19-06-2025"/>
    <s v="Public Health Department"/>
    <s v="JDHS (Proc- Cell) Mumbai"/>
    <n v="45997"/>
    <n v="1"/>
    <n v="1775"/>
    <s v="Rolled cotton Bandage as per Schedule F-II 10 cm x 4 Mtr  Roll"/>
    <n v="2351985"/>
    <s v="State Budget 2025-26"/>
    <n v="2351985"/>
    <s v="Deepali Kamble"/>
    <x v="117"/>
    <s v="Order Issued"/>
    <s v="21-11-2025"/>
    <s v="no"/>
    <x v="3"/>
  </r>
  <r>
    <n v="162"/>
    <x v="3"/>
    <s v="19-06-2025"/>
    <s v="Public Health Department"/>
    <s v="JDHS (Proc- Cell) Mumbai"/>
    <n v="45997"/>
    <n v="1"/>
    <n v="1776"/>
    <s v="Rolled cotton Bandage as per Schedule F-II 15 cm x 4 Mtr Roll"/>
    <n v="5086200"/>
    <s v="State Budget 2025-26"/>
    <n v="5086200"/>
    <s v="Deepali Kamble"/>
    <x v="117"/>
    <s v="Order Issued"/>
    <s v="21-11-2025"/>
    <s v="no"/>
    <x v="3"/>
  </r>
  <r>
    <n v="163"/>
    <x v="1"/>
    <d v="2025-12-03T00:00:00"/>
    <s v="Public Health Department"/>
    <s v="JDHS mumbai (HBT)"/>
    <s v="17-02-2025"/>
    <n v="2"/>
    <s v="177-1778"/>
    <s v="Medicines"/>
    <n v="34698952"/>
    <s v="State Budget 2023-24"/>
    <n v="294000000"/>
    <s v="Rutuja kamble"/>
    <x v="118"/>
    <s v="Order Issued"/>
    <s v="24-11-2025"/>
    <s v="no"/>
    <x v="3"/>
  </r>
  <r>
    <n v="164"/>
    <x v="0"/>
    <s v="15-02-2024"/>
    <s v="Public Health Department"/>
    <s v="JDHS (Proc- Cell) Mumbai"/>
    <d v="2024-12-02T00:00:00"/>
    <n v="1"/>
    <n v="1779"/>
    <s v="Liquid Iron Folic _x000a_Acid 200ml "/>
    <s v="3,43,13,797"/>
    <s v="NHM PIP 2023-24"/>
    <s v="3,43,13,797"/>
    <s v="Deepali Kamble"/>
    <x v="119"/>
    <s v="Order Issued"/>
    <d v="2025-04-12T00:00:00"/>
    <s v="Partially Delivered"/>
    <x v="1"/>
  </r>
  <r>
    <n v="165"/>
    <x v="3"/>
    <s v="18.08.2025"/>
    <s v="Comm. HS &amp; Mission Director NHM"/>
    <s v="J NHM Mumbai"/>
    <s v="04.08.2025"/>
    <n v="4"/>
    <s v="1791-1794"/>
    <s v="Anti Hemophilic Factors"/>
    <s v="19,63,91,852.4"/>
    <s v="NHM PIP 2025-26 PIP Sr. No. 156"/>
    <s v="20,00,00,000"/>
    <s v="Roshan"/>
    <x v="120"/>
    <s v="Order Issued"/>
    <s v="05.12.2025"/>
    <s v="no"/>
    <x v="1"/>
  </r>
  <r>
    <n v="166"/>
    <x v="1"/>
    <s v="23-06-2024"/>
    <s v="Public Health"/>
    <s v="JDHS(Technical)"/>
    <s v="23-02-2024"/>
    <n v="5"/>
    <s v="1719 to 1722"/>
    <s v="Tablet Cap "/>
    <n v="93287715"/>
    <s v="NHM PIP(2023-24)_x000a_+_x000a_15 Finance"/>
    <n v="93287715"/>
    <s v="Rohan Patekar"/>
    <x v="107"/>
    <s v="Order Issued"/>
    <d v="2025-10-12T00:00:00"/>
    <s v="no"/>
    <x v="1"/>
  </r>
  <r>
    <n v="167"/>
    <x v="1"/>
    <s v="29-06-2024"/>
    <s v="Public Health Departmenet"/>
    <s v="Additional Director (SFWB) Pune 1"/>
    <s v="24-06-2024"/>
    <n v="2"/>
    <s v="1795-1796"/>
    <s v="HAPL Reserved"/>
    <n v="17670781"/>
    <s v="NHM PIP 2024-25"/>
    <n v="17670781"/>
    <s v="Deepali Kamble"/>
    <x v="121"/>
    <s v="Order Issued"/>
    <d v="2025-11-12T00:00:00"/>
    <s v="no"/>
    <x v="3"/>
  </r>
  <r>
    <n v="168"/>
    <x v="1"/>
    <s v="26-08-2024"/>
    <s v="Public Health Departmenet"/>
    <s v="JDHS (Tech) Mumbai "/>
    <s v="26-08-2024"/>
    <n v="1"/>
    <n v="1798"/>
    <s v="Consumable "/>
    <s v="2,18,45,320"/>
    <s v="15 Finance"/>
    <s v="2,18,45,320"/>
    <s v="Rutuja kamble"/>
    <x v="122"/>
    <s v="Order Issued"/>
    <s v="19-12-2025"/>
    <s v="no"/>
    <x v="1"/>
  </r>
  <r>
    <n v="169"/>
    <x v="1"/>
    <s v="23-06-2024"/>
    <s v="Public Health"/>
    <s v="JDHS(Technical)"/>
    <s v="23-02-2024"/>
    <n v="3"/>
    <s v="1808 to 1813"/>
    <s v="Oral, Liquid, Syrup"/>
    <n v="39836950"/>
    <s v="NHM PIP(2023-24)_x000a_+_x000a_15 Finance"/>
    <n v="39836950"/>
    <s v="Roshan"/>
    <x v="113"/>
    <s v="Order Issued"/>
    <s v="12.02.2026"/>
    <s v="no"/>
    <x v="3"/>
  </r>
  <r>
    <n v="170"/>
    <x v="3"/>
    <s v="13.08.2025"/>
    <s v="DMER, Mumbai"/>
    <s v="DMER, Mumbai"/>
    <s v="11.08.2025"/>
    <n v="16"/>
    <s v="1814 to 1829"/>
    <s v="Consumables other than reserved items"/>
    <n v="244879723"/>
    <s v="State Budget (2025-26)"/>
    <n v="244879723"/>
    <s v="Aarti "/>
    <x v="109"/>
    <s v="Order Issued"/>
    <s v="17.02.2026"/>
    <s v="no"/>
    <x v="3"/>
  </r>
  <r>
    <n v="171"/>
    <x v="3"/>
    <s v="19-06-2025"/>
    <s v="Public Health Department"/>
    <s v="JDHS (Hospital Cell) Mumbai"/>
    <s v="29-08-2025"/>
    <n v="6"/>
    <s v=" 1850 to 1855"/>
    <s v="Surgical Instrument "/>
    <s v="11,22,33,032"/>
    <s v="State Budget 2024-25"/>
    <n v="112250000"/>
    <s v=" Aarti &amp; Vaishnvi "/>
    <x v="123"/>
    <s v="Order Issued"/>
    <s v="26.02.2026"/>
    <s v="no"/>
    <x v="3"/>
  </r>
  <r>
    <n v="172"/>
    <x v="3"/>
    <s v="13.08.2025"/>
    <s v="DMER, Mumbai"/>
    <s v="DMER, Mumbai"/>
    <s v="11.08.2025"/>
    <n v="20"/>
    <s v="1856- 1884, "/>
    <s v="Essential Medicines"/>
    <n v="83813042"/>
    <s v="State Budget 2024-25"/>
    <n v="83813042"/>
    <s v="Aarti "/>
    <x v="124"/>
    <s v="Order Issued"/>
    <s v="20.02.2026"/>
    <s v="no"/>
    <x v="2"/>
  </r>
  <r>
    <n v="173"/>
    <x v="3"/>
    <s v="13.08.2025"/>
    <s v="DMER, Mumbai"/>
    <s v="DMER, Mumbai"/>
    <s v="11.08.2025"/>
    <n v="19"/>
    <s v="1856- 1884, "/>
    <s v="Essential Medicines"/>
    <n v="43748038"/>
    <s v="State Budget 2024-25"/>
    <n v="43748038"/>
    <s v="Aarti "/>
    <x v="124"/>
    <s v="Order Issued"/>
    <s v="27.02.2026"/>
    <s v="no"/>
    <x v="3"/>
  </r>
  <r>
    <n v="174"/>
    <x v="3"/>
    <s v="13.08.2025"/>
    <s v="DMER, Mumbai"/>
    <s v="DMER, Mumbai"/>
    <s v="11.08.2025"/>
    <n v="9"/>
    <s v="1885-1893"/>
    <s v="Essential Medicines"/>
    <n v="29603895"/>
    <s v="State Budget 2024-25"/>
    <n v="29603895"/>
    <s v="Aarti "/>
    <x v="124"/>
    <s v="Order Issued"/>
    <s v="05.03.2026"/>
    <s v="no"/>
    <x v="3"/>
  </r>
  <r>
    <n v="175"/>
    <x v="3"/>
    <s v="13.08.2025"/>
    <s v="DMER, Mumbai"/>
    <s v="DMER, Mumbai"/>
    <s v="11.08.2025"/>
    <n v="14"/>
    <s v="1895-1908"/>
    <s v="Essential Medicines"/>
    <n v="48726768"/>
    <s v="State Budget 2024-25"/>
    <n v="48726768"/>
    <s v="Aarti "/>
    <x v="124"/>
    <s v="Order Issued"/>
    <s v="11.03.2026"/>
    <s v="no"/>
    <x v="3"/>
  </r>
  <r>
    <n v="176"/>
    <x v="2"/>
    <m/>
    <s v="DMER, Mumbai"/>
    <s v="DMER, Mumbai_x000a_(ESIC)"/>
    <s v="0624/280_x000a_Revised AA"/>
    <n v="31"/>
    <s v="1909 - 1939"/>
    <s v="Medicines"/>
    <s v="64,08,53,655"/>
    <s v="State Budget 2025-26"/>
    <s v="64,08,53,655"/>
    <s v="Aarti "/>
    <x v="125"/>
    <s v="Order Issued"/>
    <s v="11.03.2026"/>
    <s v="no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18DA11-FC08-49C2-A6F4-7BC832D569BA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31" firstHeaderRow="1" firstDataRow="2" firstDataCol="1" rowPageCount="1" colPageCount="1"/>
  <pivotFields count="18">
    <pivotField showAll="0"/>
    <pivotField axis="axisPage"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127">
        <item x="119"/>
        <item x="93"/>
        <item x="19"/>
        <item x="15"/>
        <item x="110"/>
        <item x="3"/>
        <item x="2"/>
        <item x="0"/>
        <item x="1"/>
        <item x="8"/>
        <item x="125"/>
        <item x="79"/>
        <item x="22"/>
        <item x="13"/>
        <item x="5"/>
        <item x="40"/>
        <item x="71"/>
        <item x="76"/>
        <item x="75"/>
        <item x="77"/>
        <item x="78"/>
        <item x="81"/>
        <item x="80"/>
        <item x="92"/>
        <item x="104"/>
        <item x="72"/>
        <item x="12"/>
        <item x="30"/>
        <item x="23"/>
        <item x="50"/>
        <item x="31"/>
        <item x="65"/>
        <item x="120"/>
        <item x="56"/>
        <item x="18"/>
        <item x="48"/>
        <item x="25"/>
        <item x="57"/>
        <item x="37"/>
        <item x="32"/>
        <item x="67"/>
        <item x="41"/>
        <item x="42"/>
        <item x="26"/>
        <item x="46"/>
        <item x="29"/>
        <item x="55"/>
        <item x="43"/>
        <item x="52"/>
        <item x="44"/>
        <item x="36"/>
        <item x="24"/>
        <item x="60"/>
        <item x="70"/>
        <item x="58"/>
        <item x="61"/>
        <item x="86"/>
        <item x="68"/>
        <item x="103"/>
        <item x="102"/>
        <item x="62"/>
        <item x="59"/>
        <item x="87"/>
        <item x="88"/>
        <item x="89"/>
        <item x="108"/>
        <item x="116"/>
        <item x="10"/>
        <item x="85"/>
        <item x="9"/>
        <item x="90"/>
        <item x="112"/>
        <item x="107"/>
        <item x="105"/>
        <item x="106"/>
        <item x="113"/>
        <item x="6"/>
        <item x="84"/>
        <item x="124"/>
        <item x="123"/>
        <item x="11"/>
        <item x="38"/>
        <item x="39"/>
        <item x="45"/>
        <item x="20"/>
        <item x="101"/>
        <item x="27"/>
        <item x="35"/>
        <item x="54"/>
        <item x="16"/>
        <item x="14"/>
        <item x="7"/>
        <item x="17"/>
        <item x="97"/>
        <item x="98"/>
        <item x="99"/>
        <item x="94"/>
        <item x="95"/>
        <item x="96"/>
        <item x="66"/>
        <item x="21"/>
        <item x="109"/>
        <item x="51"/>
        <item x="4"/>
        <item x="121"/>
        <item x="69"/>
        <item x="114"/>
        <item x="118"/>
        <item x="117"/>
        <item x="82"/>
        <item x="33"/>
        <item x="47"/>
        <item x="74"/>
        <item x="53"/>
        <item x="73"/>
        <item x="49"/>
        <item x="111"/>
        <item x="122"/>
        <item x="91"/>
        <item x="63"/>
        <item x="115"/>
        <item x="28"/>
        <item x="100"/>
        <item x="83"/>
        <item x="64"/>
        <item x="34"/>
        <item t="default"/>
      </items>
    </pivotField>
    <pivotField showAll="0"/>
    <pivotField showAll="0"/>
    <pivotField showAll="0"/>
    <pivotField axis="axisCol" showAll="0">
      <items count="5">
        <item x="0"/>
        <item x="3"/>
        <item x="1"/>
        <item x="2"/>
        <item t="default"/>
      </items>
    </pivotField>
  </pivotFields>
  <rowFields count="1">
    <field x="13"/>
  </rowFields>
  <rowItems count="1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 t="grand">
      <x/>
    </i>
  </rowItems>
  <colFields count="1">
    <field x="17"/>
  </colFields>
  <colItems count="5">
    <i>
      <x/>
    </i>
    <i>
      <x v="1"/>
    </i>
    <i>
      <x v="2"/>
    </i>
    <i>
      <x v="3"/>
    </i>
    <i t="grand">
      <x/>
    </i>
  </colItems>
  <pageFields count="1">
    <pageField fld="1" hier="-1"/>
  </pageFields>
  <dataFields count="1">
    <dataField name="Sum of Amount Received against Proposal" fld="11" baseField="1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557E2-2F47-427C-9973-D2EF97538EE0}">
  <dimension ref="A1:F131"/>
  <sheetViews>
    <sheetView topLeftCell="A10" zoomScale="73" workbookViewId="0">
      <selection activeCell="A5" sqref="A5:A129"/>
    </sheetView>
  </sheetViews>
  <sheetFormatPr defaultRowHeight="14.5" x14ac:dyDescent="0.35"/>
  <cols>
    <col min="1" max="1" width="54.81640625" bestFit="1" customWidth="1"/>
    <col min="2" max="2" width="16.26953125" bestFit="1" customWidth="1"/>
    <col min="3" max="3" width="12.6328125" bestFit="1" customWidth="1"/>
    <col min="4" max="4" width="16.6328125" bestFit="1" customWidth="1"/>
    <col min="5" max="5" width="9.81640625" bestFit="1" customWidth="1"/>
    <col min="6" max="6" width="10.90625" bestFit="1" customWidth="1"/>
  </cols>
  <sheetData>
    <row r="1" spans="1:6" x14ac:dyDescent="0.35">
      <c r="A1" s="76" t="s">
        <v>1</v>
      </c>
      <c r="B1" t="s">
        <v>567</v>
      </c>
    </row>
    <row r="3" spans="1:6" x14ac:dyDescent="0.35">
      <c r="A3" s="76" t="s">
        <v>571</v>
      </c>
      <c r="B3" s="76" t="s">
        <v>572</v>
      </c>
    </row>
    <row r="4" spans="1:6" x14ac:dyDescent="0.35">
      <c r="A4" s="76" t="s">
        <v>568</v>
      </c>
      <c r="B4" t="s">
        <v>28</v>
      </c>
      <c r="C4" t="s">
        <v>422</v>
      </c>
      <c r="D4" t="s">
        <v>41</v>
      </c>
      <c r="E4" t="s">
        <v>569</v>
      </c>
      <c r="F4" t="s">
        <v>570</v>
      </c>
    </row>
    <row r="5" spans="1:6" x14ac:dyDescent="0.35">
      <c r="A5" s="77" t="s">
        <v>518</v>
      </c>
      <c r="B5" s="78"/>
      <c r="C5" s="78"/>
      <c r="D5" s="78">
        <v>0</v>
      </c>
      <c r="E5" s="78"/>
      <c r="F5" s="78">
        <v>0</v>
      </c>
    </row>
    <row r="6" spans="1:6" x14ac:dyDescent="0.35">
      <c r="A6" s="77" t="s">
        <v>411</v>
      </c>
      <c r="B6" s="78"/>
      <c r="C6" s="78"/>
      <c r="D6" s="78">
        <v>0</v>
      </c>
      <c r="E6" s="78"/>
      <c r="F6" s="78">
        <v>0</v>
      </c>
    </row>
    <row r="7" spans="1:6" x14ac:dyDescent="0.35">
      <c r="A7" s="77" t="s">
        <v>145</v>
      </c>
      <c r="B7" s="78">
        <v>26786494</v>
      </c>
      <c r="C7" s="78"/>
      <c r="D7" s="78"/>
      <c r="E7" s="78"/>
      <c r="F7" s="78">
        <v>26786494</v>
      </c>
    </row>
    <row r="8" spans="1:6" x14ac:dyDescent="0.35">
      <c r="A8" s="77" t="s">
        <v>130</v>
      </c>
      <c r="B8" s="78">
        <v>6877374</v>
      </c>
      <c r="C8" s="78"/>
      <c r="D8" s="78"/>
      <c r="E8" s="78"/>
      <c r="F8" s="78">
        <v>6877374</v>
      </c>
    </row>
    <row r="9" spans="1:6" x14ac:dyDescent="0.35">
      <c r="A9" s="77" t="s">
        <v>479</v>
      </c>
      <c r="B9" s="78"/>
      <c r="C9" s="78"/>
      <c r="D9" s="78">
        <v>0</v>
      </c>
      <c r="E9" s="78"/>
      <c r="F9" s="78">
        <v>0</v>
      </c>
    </row>
    <row r="10" spans="1:6" x14ac:dyDescent="0.35">
      <c r="A10" s="77" t="s">
        <v>49</v>
      </c>
      <c r="B10" s="78"/>
      <c r="C10" s="78"/>
      <c r="D10" s="78">
        <v>405976933</v>
      </c>
      <c r="E10" s="78"/>
      <c r="F10" s="78">
        <v>405976933</v>
      </c>
    </row>
    <row r="11" spans="1:6" x14ac:dyDescent="0.35">
      <c r="A11" s="77" t="s">
        <v>45</v>
      </c>
      <c r="B11" s="78">
        <v>96184323</v>
      </c>
      <c r="C11" s="78"/>
      <c r="D11" s="78">
        <v>858426870</v>
      </c>
      <c r="E11" s="78"/>
      <c r="F11" s="78">
        <v>954611193</v>
      </c>
    </row>
    <row r="12" spans="1:6" x14ac:dyDescent="0.35">
      <c r="A12" s="77" t="s">
        <v>24</v>
      </c>
      <c r="B12" s="78">
        <v>474958259</v>
      </c>
      <c r="C12" s="78"/>
      <c r="D12" s="78">
        <v>133497947</v>
      </c>
      <c r="E12" s="78">
        <v>575292000</v>
      </c>
      <c r="F12" s="78">
        <v>1183748206</v>
      </c>
    </row>
    <row r="13" spans="1:6" x14ac:dyDescent="0.35">
      <c r="A13" s="77" t="s">
        <v>39</v>
      </c>
      <c r="B13" s="78"/>
      <c r="C13" s="78"/>
      <c r="D13" s="78">
        <v>10253000</v>
      </c>
      <c r="E13" s="78"/>
      <c r="F13" s="78">
        <v>10253000</v>
      </c>
    </row>
    <row r="14" spans="1:6" x14ac:dyDescent="0.35">
      <c r="A14" s="77" t="s">
        <v>92</v>
      </c>
      <c r="B14" s="78">
        <v>729960</v>
      </c>
      <c r="C14" s="78"/>
      <c r="D14" s="78">
        <v>209125638</v>
      </c>
      <c r="E14" s="78"/>
      <c r="F14" s="78">
        <v>209855598</v>
      </c>
    </row>
    <row r="15" spans="1:6" x14ac:dyDescent="0.35">
      <c r="A15" s="77" t="s">
        <v>560</v>
      </c>
      <c r="B15" s="78"/>
      <c r="C15" s="78"/>
      <c r="D15" s="78"/>
      <c r="E15" s="78">
        <v>0</v>
      </c>
      <c r="F15" s="78">
        <v>0</v>
      </c>
    </row>
    <row r="16" spans="1:6" x14ac:dyDescent="0.35">
      <c r="A16" s="77" t="s">
        <v>349</v>
      </c>
      <c r="B16" s="78"/>
      <c r="C16" s="78"/>
      <c r="D16" s="78">
        <v>1294800</v>
      </c>
      <c r="E16" s="78"/>
      <c r="F16" s="78">
        <v>1294800</v>
      </c>
    </row>
    <row r="17" spans="1:6" x14ac:dyDescent="0.35">
      <c r="A17" s="77" t="s">
        <v>153</v>
      </c>
      <c r="B17" s="78">
        <v>9012448</v>
      </c>
      <c r="C17" s="78"/>
      <c r="D17" s="78"/>
      <c r="E17" s="78"/>
      <c r="F17" s="78">
        <v>9012448</v>
      </c>
    </row>
    <row r="18" spans="1:6" x14ac:dyDescent="0.35">
      <c r="A18" s="77" t="s">
        <v>121</v>
      </c>
      <c r="B18" s="78">
        <v>14952000</v>
      </c>
      <c r="C18" s="78"/>
      <c r="D18" s="78"/>
      <c r="E18" s="78"/>
      <c r="F18" s="78">
        <v>14952000</v>
      </c>
    </row>
    <row r="19" spans="1:6" x14ac:dyDescent="0.35">
      <c r="A19" s="77" t="s">
        <v>70</v>
      </c>
      <c r="B19" s="78">
        <v>157360000</v>
      </c>
      <c r="C19" s="78"/>
      <c r="D19" s="78"/>
      <c r="E19" s="78"/>
      <c r="F19" s="78">
        <v>157360000</v>
      </c>
    </row>
    <row r="20" spans="1:6" x14ac:dyDescent="0.35">
      <c r="A20" s="77" t="s">
        <v>213</v>
      </c>
      <c r="B20" s="78">
        <v>3513741</v>
      </c>
      <c r="C20" s="78"/>
      <c r="D20" s="78"/>
      <c r="E20" s="78"/>
      <c r="F20" s="78">
        <v>3513741</v>
      </c>
    </row>
    <row r="21" spans="1:6" x14ac:dyDescent="0.35">
      <c r="A21" s="77" t="s">
        <v>327</v>
      </c>
      <c r="B21" s="78"/>
      <c r="C21" s="78"/>
      <c r="D21" s="78">
        <v>38629273</v>
      </c>
      <c r="E21" s="78"/>
      <c r="F21" s="78">
        <v>38629273</v>
      </c>
    </row>
    <row r="22" spans="1:6" x14ac:dyDescent="0.35">
      <c r="A22" s="77" t="s">
        <v>340</v>
      </c>
      <c r="B22" s="78"/>
      <c r="C22" s="78"/>
      <c r="D22" s="78">
        <v>72873359</v>
      </c>
      <c r="E22" s="78"/>
      <c r="F22" s="78">
        <v>72873359</v>
      </c>
    </row>
    <row r="23" spans="1:6" x14ac:dyDescent="0.35">
      <c r="A23" s="77" t="s">
        <v>338</v>
      </c>
      <c r="B23" s="78"/>
      <c r="C23" s="78"/>
      <c r="D23" s="78">
        <v>185611891</v>
      </c>
      <c r="E23" s="78"/>
      <c r="F23" s="78">
        <v>185611891</v>
      </c>
    </row>
    <row r="24" spans="1:6" x14ac:dyDescent="0.35">
      <c r="A24" s="77" t="s">
        <v>342</v>
      </c>
      <c r="B24" s="78"/>
      <c r="C24" s="78"/>
      <c r="D24" s="78">
        <v>22619903</v>
      </c>
      <c r="E24" s="78"/>
      <c r="F24" s="78">
        <v>22619903</v>
      </c>
    </row>
    <row r="25" spans="1:6" x14ac:dyDescent="0.35">
      <c r="A25" s="77" t="s">
        <v>345</v>
      </c>
      <c r="B25" s="78"/>
      <c r="C25" s="78"/>
      <c r="D25" s="78">
        <v>10656363</v>
      </c>
      <c r="E25" s="78"/>
      <c r="F25" s="78">
        <v>10656363</v>
      </c>
    </row>
    <row r="26" spans="1:6" x14ac:dyDescent="0.35">
      <c r="A26" s="77" t="s">
        <v>355</v>
      </c>
      <c r="B26" s="78"/>
      <c r="C26" s="78"/>
      <c r="D26" s="78">
        <v>16783212</v>
      </c>
      <c r="E26" s="78"/>
      <c r="F26" s="78">
        <v>16783212</v>
      </c>
    </row>
    <row r="27" spans="1:6" x14ac:dyDescent="0.35">
      <c r="A27" s="77" t="s">
        <v>352</v>
      </c>
      <c r="B27" s="78"/>
      <c r="C27" s="78"/>
      <c r="D27" s="78">
        <v>62995494</v>
      </c>
      <c r="E27" s="78"/>
      <c r="F27" s="78">
        <v>62995494</v>
      </c>
    </row>
    <row r="28" spans="1:6" x14ac:dyDescent="0.35">
      <c r="A28" s="77" t="s">
        <v>405</v>
      </c>
      <c r="B28" s="78"/>
      <c r="C28" s="78"/>
      <c r="D28" s="78">
        <v>15049485</v>
      </c>
      <c r="E28" s="78"/>
      <c r="F28" s="78">
        <v>15049485</v>
      </c>
    </row>
    <row r="29" spans="1:6" x14ac:dyDescent="0.35">
      <c r="A29" s="77" t="s">
        <v>445</v>
      </c>
      <c r="B29" s="78"/>
      <c r="C29" s="78"/>
      <c r="D29" s="78">
        <v>20837090</v>
      </c>
      <c r="E29" s="78"/>
      <c r="F29" s="78">
        <v>20837090</v>
      </c>
    </row>
    <row r="30" spans="1:6" x14ac:dyDescent="0.35">
      <c r="A30" s="77" t="s">
        <v>331</v>
      </c>
      <c r="B30" s="78"/>
      <c r="C30" s="78"/>
      <c r="D30" s="78">
        <v>63873694</v>
      </c>
      <c r="E30" s="78"/>
      <c r="F30" s="78">
        <v>63873694</v>
      </c>
    </row>
    <row r="31" spans="1:6" x14ac:dyDescent="0.35">
      <c r="A31" s="77" t="s">
        <v>117</v>
      </c>
      <c r="B31" s="78">
        <v>10663128</v>
      </c>
      <c r="C31" s="78"/>
      <c r="D31" s="78"/>
      <c r="E31" s="78"/>
      <c r="F31" s="78">
        <v>10663128</v>
      </c>
    </row>
    <row r="32" spans="1:6" x14ac:dyDescent="0.35">
      <c r="A32" s="77" t="s">
        <v>187</v>
      </c>
      <c r="B32" s="78">
        <v>98892183</v>
      </c>
      <c r="C32" s="78"/>
      <c r="D32" s="78"/>
      <c r="E32" s="78"/>
      <c r="F32" s="78">
        <v>98892183</v>
      </c>
    </row>
    <row r="33" spans="1:6" x14ac:dyDescent="0.35">
      <c r="A33" s="77" t="s">
        <v>156</v>
      </c>
      <c r="B33" s="78">
        <v>37752878</v>
      </c>
      <c r="C33" s="78"/>
      <c r="D33" s="78"/>
      <c r="E33" s="78"/>
      <c r="F33" s="78">
        <v>37752878</v>
      </c>
    </row>
    <row r="34" spans="1:6" x14ac:dyDescent="0.35">
      <c r="A34" s="77" t="s">
        <v>247</v>
      </c>
      <c r="B34" s="78"/>
      <c r="C34" s="78"/>
      <c r="D34" s="78">
        <v>43072510</v>
      </c>
      <c r="E34" s="78"/>
      <c r="F34" s="78">
        <v>43072510</v>
      </c>
    </row>
    <row r="35" spans="1:6" x14ac:dyDescent="0.35">
      <c r="A35" s="77" t="s">
        <v>190</v>
      </c>
      <c r="B35" s="78">
        <v>39995960</v>
      </c>
      <c r="C35" s="78"/>
      <c r="D35" s="78"/>
      <c r="E35" s="78"/>
      <c r="F35" s="78">
        <v>39995960</v>
      </c>
    </row>
    <row r="36" spans="1:6" x14ac:dyDescent="0.35">
      <c r="A36" s="77" t="s">
        <v>296</v>
      </c>
      <c r="B36" s="78">
        <v>31575758</v>
      </c>
      <c r="C36" s="78"/>
      <c r="D36" s="78"/>
      <c r="E36" s="78"/>
      <c r="F36" s="78">
        <v>31575758</v>
      </c>
    </row>
    <row r="37" spans="1:6" x14ac:dyDescent="0.35">
      <c r="A37" s="77" t="s">
        <v>528</v>
      </c>
      <c r="B37" s="78"/>
      <c r="C37" s="78"/>
      <c r="D37" s="78">
        <v>0</v>
      </c>
      <c r="E37" s="78"/>
      <c r="F37" s="78">
        <v>0</v>
      </c>
    </row>
    <row r="38" spans="1:6" x14ac:dyDescent="0.35">
      <c r="A38" s="77" t="s">
        <v>266</v>
      </c>
      <c r="B38" s="78">
        <v>19262250</v>
      </c>
      <c r="C38" s="78"/>
      <c r="D38" s="78"/>
      <c r="E38" s="78"/>
      <c r="F38" s="78">
        <v>19262250</v>
      </c>
    </row>
    <row r="39" spans="1:6" x14ac:dyDescent="0.35">
      <c r="A39" s="77" t="s">
        <v>139</v>
      </c>
      <c r="B39" s="78">
        <v>6535864</v>
      </c>
      <c r="C39" s="78"/>
      <c r="D39" s="78"/>
      <c r="E39" s="78"/>
      <c r="F39" s="78">
        <v>6535864</v>
      </c>
    </row>
    <row r="40" spans="1:6" x14ac:dyDescent="0.35">
      <c r="A40" s="77" t="s">
        <v>240</v>
      </c>
      <c r="B40" s="78">
        <v>63855210</v>
      </c>
      <c r="C40" s="78"/>
      <c r="D40" s="78"/>
      <c r="E40" s="78"/>
      <c r="F40" s="78">
        <v>63855210</v>
      </c>
    </row>
    <row r="41" spans="1:6" x14ac:dyDescent="0.35">
      <c r="A41" s="77" t="s">
        <v>167</v>
      </c>
      <c r="B41" s="78">
        <v>3582480</v>
      </c>
      <c r="C41" s="78"/>
      <c r="D41" s="78"/>
      <c r="E41" s="78"/>
      <c r="F41" s="78">
        <v>3582480</v>
      </c>
    </row>
    <row r="42" spans="1:6" x14ac:dyDescent="0.35">
      <c r="A42" s="77" t="s">
        <v>269</v>
      </c>
      <c r="B42" s="78"/>
      <c r="C42" s="78"/>
      <c r="D42" s="78">
        <v>12101639</v>
      </c>
      <c r="E42" s="78"/>
      <c r="F42" s="78">
        <v>12101639</v>
      </c>
    </row>
    <row r="43" spans="1:6" x14ac:dyDescent="0.35">
      <c r="A43" s="77" t="s">
        <v>207</v>
      </c>
      <c r="B43" s="78">
        <v>3927000</v>
      </c>
      <c r="C43" s="78"/>
      <c r="D43" s="78"/>
      <c r="E43" s="78"/>
      <c r="F43" s="78">
        <v>3927000</v>
      </c>
    </row>
    <row r="44" spans="1:6" x14ac:dyDescent="0.35">
      <c r="A44" s="77" t="s">
        <v>192</v>
      </c>
      <c r="B44" s="78">
        <v>409500</v>
      </c>
      <c r="C44" s="78"/>
      <c r="D44" s="78"/>
      <c r="E44" s="78"/>
      <c r="F44" s="78">
        <v>409500</v>
      </c>
    </row>
    <row r="45" spans="1:6" x14ac:dyDescent="0.35">
      <c r="A45" s="77" t="s">
        <v>305</v>
      </c>
      <c r="B45" s="78">
        <v>1822275</v>
      </c>
      <c r="C45" s="78"/>
      <c r="D45" s="78"/>
      <c r="E45" s="78"/>
      <c r="F45" s="78">
        <v>1822275</v>
      </c>
    </row>
    <row r="46" spans="1:6" x14ac:dyDescent="0.35">
      <c r="A46" s="77" t="s">
        <v>216</v>
      </c>
      <c r="B46" s="78">
        <v>28614930</v>
      </c>
      <c r="C46" s="78"/>
      <c r="D46" s="78"/>
      <c r="E46" s="78"/>
      <c r="F46" s="78">
        <v>28614930</v>
      </c>
    </row>
    <row r="47" spans="1:6" x14ac:dyDescent="0.35">
      <c r="A47" s="77" t="s">
        <v>219</v>
      </c>
      <c r="B47" s="78">
        <v>39454128</v>
      </c>
      <c r="C47" s="78"/>
      <c r="D47" s="78"/>
      <c r="E47" s="78"/>
      <c r="F47" s="78">
        <v>39454128</v>
      </c>
    </row>
    <row r="48" spans="1:6" x14ac:dyDescent="0.35">
      <c r="A48" s="77" t="s">
        <v>171</v>
      </c>
      <c r="B48" s="78">
        <v>13330800</v>
      </c>
      <c r="C48" s="78"/>
      <c r="D48" s="78"/>
      <c r="E48" s="78"/>
      <c r="F48" s="78">
        <v>13330800</v>
      </c>
    </row>
    <row r="49" spans="1:6" x14ac:dyDescent="0.35">
      <c r="A49" s="77" t="s">
        <v>230</v>
      </c>
      <c r="B49" s="78">
        <v>37866472</v>
      </c>
      <c r="C49" s="78"/>
      <c r="D49" s="78"/>
      <c r="E49" s="78"/>
      <c r="F49" s="78">
        <v>37866472</v>
      </c>
    </row>
    <row r="50" spans="1:6" x14ac:dyDescent="0.35">
      <c r="A50" s="77" t="s">
        <v>183</v>
      </c>
      <c r="B50" s="78">
        <v>24766493</v>
      </c>
      <c r="C50" s="78"/>
      <c r="D50" s="78"/>
      <c r="E50" s="78"/>
      <c r="F50" s="78">
        <v>24766493</v>
      </c>
    </row>
    <row r="51" spans="1:6" x14ac:dyDescent="0.35">
      <c r="A51" s="77" t="s">
        <v>262</v>
      </c>
      <c r="B51" s="78">
        <v>14592522</v>
      </c>
      <c r="C51" s="78"/>
      <c r="D51" s="78"/>
      <c r="E51" s="78"/>
      <c r="F51" s="78">
        <v>14592522</v>
      </c>
    </row>
    <row r="52" spans="1:6" x14ac:dyDescent="0.35">
      <c r="A52" s="77" t="s">
        <v>222</v>
      </c>
      <c r="B52" s="78">
        <v>8140660</v>
      </c>
      <c r="C52" s="78"/>
      <c r="D52" s="78"/>
      <c r="E52" s="78"/>
      <c r="F52" s="78">
        <v>8140660</v>
      </c>
    </row>
    <row r="53" spans="1:6" x14ac:dyDescent="0.35">
      <c r="A53" s="77" t="s">
        <v>256</v>
      </c>
      <c r="B53" s="78">
        <v>2636714</v>
      </c>
      <c r="C53" s="78"/>
      <c r="D53" s="78"/>
      <c r="E53" s="78"/>
      <c r="F53" s="78">
        <v>2636714</v>
      </c>
    </row>
    <row r="54" spans="1:6" x14ac:dyDescent="0.35">
      <c r="A54" s="77" t="s">
        <v>225</v>
      </c>
      <c r="B54" s="78">
        <v>4876946</v>
      </c>
      <c r="C54" s="78"/>
      <c r="D54" s="78"/>
      <c r="E54" s="78"/>
      <c r="F54" s="78">
        <v>4876946</v>
      </c>
    </row>
    <row r="55" spans="1:6" x14ac:dyDescent="0.35">
      <c r="A55" s="77" t="s">
        <v>206</v>
      </c>
      <c r="B55" s="78">
        <v>96839977</v>
      </c>
      <c r="C55" s="78"/>
      <c r="D55" s="78"/>
      <c r="E55" s="78"/>
      <c r="F55" s="78">
        <v>96839977</v>
      </c>
    </row>
    <row r="56" spans="1:6" x14ac:dyDescent="0.35">
      <c r="A56" s="77" t="s">
        <v>163</v>
      </c>
      <c r="B56" s="78">
        <v>2950500</v>
      </c>
      <c r="C56" s="78"/>
      <c r="D56" s="78"/>
      <c r="E56" s="78"/>
      <c r="F56" s="78">
        <v>2950500</v>
      </c>
    </row>
    <row r="57" spans="1:6" x14ac:dyDescent="0.35">
      <c r="A57" s="77" t="s">
        <v>279</v>
      </c>
      <c r="B57" s="78">
        <v>0</v>
      </c>
      <c r="C57" s="78"/>
      <c r="D57" s="78"/>
      <c r="E57" s="78"/>
      <c r="F57" s="78">
        <v>0</v>
      </c>
    </row>
    <row r="58" spans="1:6" x14ac:dyDescent="0.35">
      <c r="A58" s="77" t="s">
        <v>322</v>
      </c>
      <c r="B58" s="78">
        <v>16701610</v>
      </c>
      <c r="C58" s="78"/>
      <c r="D58" s="78"/>
      <c r="E58" s="78"/>
      <c r="F58" s="78">
        <v>16701610</v>
      </c>
    </row>
    <row r="59" spans="1:6" x14ac:dyDescent="0.35">
      <c r="A59" s="77" t="s">
        <v>272</v>
      </c>
      <c r="B59" s="78"/>
      <c r="C59" s="78"/>
      <c r="D59" s="78">
        <v>49899213</v>
      </c>
      <c r="E59" s="78"/>
      <c r="F59" s="78">
        <v>49899213</v>
      </c>
    </row>
    <row r="60" spans="1:6" x14ac:dyDescent="0.35">
      <c r="A60" s="77" t="s">
        <v>282</v>
      </c>
      <c r="B60" s="78">
        <v>0</v>
      </c>
      <c r="C60" s="78"/>
      <c r="D60" s="78"/>
      <c r="E60" s="78"/>
      <c r="F60" s="78">
        <v>0</v>
      </c>
    </row>
    <row r="61" spans="1:6" x14ac:dyDescent="0.35">
      <c r="A61" s="77" t="s">
        <v>389</v>
      </c>
      <c r="B61" s="78"/>
      <c r="C61" s="78"/>
      <c r="D61" s="78">
        <v>8146703</v>
      </c>
      <c r="E61" s="78"/>
      <c r="F61" s="78">
        <v>8146703</v>
      </c>
    </row>
    <row r="62" spans="1:6" x14ac:dyDescent="0.35">
      <c r="A62" s="77" t="s">
        <v>308</v>
      </c>
      <c r="B62" s="78">
        <v>116844700</v>
      </c>
      <c r="C62" s="78"/>
      <c r="D62" s="78">
        <v>18292050</v>
      </c>
      <c r="E62" s="78"/>
      <c r="F62" s="78">
        <v>135136750</v>
      </c>
    </row>
    <row r="63" spans="1:6" x14ac:dyDescent="0.35">
      <c r="A63" s="77" t="s">
        <v>443</v>
      </c>
      <c r="B63" s="78"/>
      <c r="C63" s="78"/>
      <c r="D63" s="78">
        <v>86102164</v>
      </c>
      <c r="E63" s="78"/>
      <c r="F63" s="78">
        <v>86102164</v>
      </c>
    </row>
    <row r="64" spans="1:6" x14ac:dyDescent="0.35">
      <c r="A64" s="77" t="s">
        <v>441</v>
      </c>
      <c r="B64" s="78"/>
      <c r="C64" s="78"/>
      <c r="D64" s="78">
        <v>0</v>
      </c>
      <c r="E64" s="78"/>
      <c r="F64" s="78">
        <v>0</v>
      </c>
    </row>
    <row r="65" spans="1:6" x14ac:dyDescent="0.35">
      <c r="A65" s="77" t="s">
        <v>288</v>
      </c>
      <c r="B65" s="78">
        <v>157461567</v>
      </c>
      <c r="C65" s="78"/>
      <c r="D65" s="78">
        <v>37522100</v>
      </c>
      <c r="E65" s="78"/>
      <c r="F65" s="78">
        <v>194983667</v>
      </c>
    </row>
    <row r="66" spans="1:6" x14ac:dyDescent="0.35">
      <c r="A66" s="77" t="s">
        <v>274</v>
      </c>
      <c r="B66" s="78"/>
      <c r="C66" s="78"/>
      <c r="D66" s="78"/>
      <c r="E66" s="78">
        <v>49974750</v>
      </c>
      <c r="F66" s="78">
        <v>49974750</v>
      </c>
    </row>
    <row r="67" spans="1:6" x14ac:dyDescent="0.35">
      <c r="A67" s="77" t="s">
        <v>390</v>
      </c>
      <c r="B67" s="78"/>
      <c r="C67" s="78"/>
      <c r="D67" s="78">
        <v>19791775</v>
      </c>
      <c r="E67" s="78"/>
      <c r="F67" s="78">
        <v>19791775</v>
      </c>
    </row>
    <row r="68" spans="1:6" x14ac:dyDescent="0.35">
      <c r="A68" s="77" t="s">
        <v>392</v>
      </c>
      <c r="B68" s="78"/>
      <c r="C68" s="78"/>
      <c r="D68" s="78">
        <v>69150590</v>
      </c>
      <c r="E68" s="78"/>
      <c r="F68" s="78">
        <v>69150590</v>
      </c>
    </row>
    <row r="69" spans="1:6" x14ac:dyDescent="0.35">
      <c r="A69" s="77" t="s">
        <v>394</v>
      </c>
      <c r="B69" s="78"/>
      <c r="C69" s="78"/>
      <c r="D69" s="78">
        <v>1806000</v>
      </c>
      <c r="E69" s="78"/>
      <c r="F69" s="78">
        <v>1806000</v>
      </c>
    </row>
    <row r="70" spans="1:6" x14ac:dyDescent="0.35">
      <c r="A70" s="77" t="s">
        <v>468</v>
      </c>
      <c r="B70" s="78"/>
      <c r="C70" s="78"/>
      <c r="D70" s="78">
        <v>24192483</v>
      </c>
      <c r="E70" s="78"/>
      <c r="F70" s="78">
        <v>24192483</v>
      </c>
    </row>
    <row r="71" spans="1:6" x14ac:dyDescent="0.35">
      <c r="A71" s="77" t="s">
        <v>506</v>
      </c>
      <c r="B71" s="78"/>
      <c r="C71" s="78"/>
      <c r="D71" s="78">
        <v>0</v>
      </c>
      <c r="E71" s="78"/>
      <c r="F71" s="78">
        <v>0</v>
      </c>
    </row>
    <row r="72" spans="1:6" x14ac:dyDescent="0.35">
      <c r="A72" s="77" t="s">
        <v>106</v>
      </c>
      <c r="B72" s="78">
        <v>282665858</v>
      </c>
      <c r="C72" s="78"/>
      <c r="D72" s="78"/>
      <c r="E72" s="78"/>
      <c r="F72" s="78">
        <v>282665858</v>
      </c>
    </row>
    <row r="73" spans="1:6" x14ac:dyDescent="0.35">
      <c r="A73" s="77" t="s">
        <v>386</v>
      </c>
      <c r="B73" s="78">
        <v>15000000</v>
      </c>
      <c r="C73" s="78"/>
      <c r="D73" s="78"/>
      <c r="E73" s="78"/>
      <c r="F73" s="78">
        <v>15000000</v>
      </c>
    </row>
    <row r="74" spans="1:6" x14ac:dyDescent="0.35">
      <c r="A74" s="77" t="s">
        <v>103</v>
      </c>
      <c r="B74" s="78">
        <v>12507146</v>
      </c>
      <c r="C74" s="78"/>
      <c r="D74" s="78"/>
      <c r="E74" s="78"/>
      <c r="F74" s="78">
        <v>12507146</v>
      </c>
    </row>
    <row r="75" spans="1:6" x14ac:dyDescent="0.35">
      <c r="A75" s="77" t="s">
        <v>399</v>
      </c>
      <c r="B75" s="78"/>
      <c r="C75" s="78"/>
      <c r="D75" s="78">
        <v>118616892</v>
      </c>
      <c r="E75" s="78"/>
      <c r="F75" s="78">
        <v>118616892</v>
      </c>
    </row>
    <row r="76" spans="1:6" x14ac:dyDescent="0.35">
      <c r="A76" s="77" t="s">
        <v>491</v>
      </c>
      <c r="B76" s="78">
        <v>0</v>
      </c>
      <c r="C76" s="78"/>
      <c r="D76" s="78"/>
      <c r="E76" s="78"/>
      <c r="F76" s="78">
        <v>0</v>
      </c>
    </row>
    <row r="77" spans="1:6" x14ac:dyDescent="0.35">
      <c r="A77" s="77" t="s">
        <v>461</v>
      </c>
      <c r="B77" s="78"/>
      <c r="C77" s="78"/>
      <c r="D77" s="78">
        <v>230357286</v>
      </c>
      <c r="E77" s="78"/>
      <c r="F77" s="78">
        <v>230357286</v>
      </c>
    </row>
    <row r="78" spans="1:6" x14ac:dyDescent="0.35">
      <c r="A78" s="77" t="s">
        <v>454</v>
      </c>
      <c r="B78" s="78"/>
      <c r="C78" s="78"/>
      <c r="D78" s="78">
        <v>22881992</v>
      </c>
      <c r="E78" s="78"/>
      <c r="F78" s="78">
        <v>22881992</v>
      </c>
    </row>
    <row r="79" spans="1:6" x14ac:dyDescent="0.35">
      <c r="A79" s="77" t="s">
        <v>458</v>
      </c>
      <c r="B79" s="78"/>
      <c r="C79" s="78"/>
      <c r="D79" s="78">
        <v>37679610</v>
      </c>
      <c r="E79" s="78"/>
      <c r="F79" s="78">
        <v>37679610</v>
      </c>
    </row>
    <row r="80" spans="1:6" x14ac:dyDescent="0.35">
      <c r="A80" s="77" t="s">
        <v>496</v>
      </c>
      <c r="B80" s="78"/>
      <c r="C80" s="78">
        <v>39836950</v>
      </c>
      <c r="D80" s="78">
        <v>67308978</v>
      </c>
      <c r="E80" s="78"/>
      <c r="F80" s="78">
        <v>107145928</v>
      </c>
    </row>
    <row r="81" spans="1:6" x14ac:dyDescent="0.35">
      <c r="A81" s="77" t="s">
        <v>85</v>
      </c>
      <c r="B81" s="78">
        <v>155940750</v>
      </c>
      <c r="C81" s="78"/>
      <c r="D81" s="78"/>
      <c r="E81" s="78"/>
      <c r="F81" s="78">
        <v>155940750</v>
      </c>
    </row>
    <row r="82" spans="1:6" x14ac:dyDescent="0.35">
      <c r="A82" s="77" t="s">
        <v>379</v>
      </c>
      <c r="B82" s="78"/>
      <c r="C82" s="78"/>
      <c r="D82" s="78"/>
      <c r="E82" s="78">
        <v>0</v>
      </c>
      <c r="F82" s="78">
        <v>0</v>
      </c>
    </row>
    <row r="83" spans="1:6" x14ac:dyDescent="0.35">
      <c r="A83" s="77" t="s">
        <v>553</v>
      </c>
      <c r="B83" s="78"/>
      <c r="C83" s="78">
        <v>122078701</v>
      </c>
      <c r="D83" s="78"/>
      <c r="E83" s="78">
        <v>83813042</v>
      </c>
      <c r="F83" s="78">
        <v>205891743</v>
      </c>
    </row>
    <row r="84" spans="1:6" x14ac:dyDescent="0.35">
      <c r="A84" s="77" t="s">
        <v>549</v>
      </c>
      <c r="B84" s="78"/>
      <c r="C84" s="78">
        <v>112250000</v>
      </c>
      <c r="D84" s="78"/>
      <c r="E84" s="78"/>
      <c r="F84" s="78">
        <v>112250000</v>
      </c>
    </row>
    <row r="85" spans="1:6" x14ac:dyDescent="0.35">
      <c r="A85" s="77" t="s">
        <v>112</v>
      </c>
      <c r="B85" s="78">
        <v>5866652</v>
      </c>
      <c r="C85" s="78"/>
      <c r="D85" s="78"/>
      <c r="E85" s="78"/>
      <c r="F85" s="78">
        <v>5866652</v>
      </c>
    </row>
    <row r="86" spans="1:6" x14ac:dyDescent="0.35">
      <c r="A86" s="77" t="s">
        <v>208</v>
      </c>
      <c r="B86" s="78">
        <v>11397778</v>
      </c>
      <c r="C86" s="78"/>
      <c r="D86" s="78"/>
      <c r="E86" s="78"/>
      <c r="F86" s="78">
        <v>11397778</v>
      </c>
    </row>
    <row r="87" spans="1:6" x14ac:dyDescent="0.35">
      <c r="A87" s="77" t="s">
        <v>211</v>
      </c>
      <c r="B87" s="78">
        <v>80440242</v>
      </c>
      <c r="C87" s="78"/>
      <c r="D87" s="78"/>
      <c r="E87" s="78"/>
      <c r="F87" s="78">
        <v>80440242</v>
      </c>
    </row>
    <row r="88" spans="1:6" x14ac:dyDescent="0.35">
      <c r="A88" s="77" t="s">
        <v>228</v>
      </c>
      <c r="B88" s="78">
        <v>11568871</v>
      </c>
      <c r="C88" s="78"/>
      <c r="D88" s="78"/>
      <c r="E88" s="78"/>
      <c r="F88" s="78">
        <v>11568871</v>
      </c>
    </row>
    <row r="89" spans="1:6" x14ac:dyDescent="0.35">
      <c r="A89" s="77" t="s">
        <v>147</v>
      </c>
      <c r="B89" s="78">
        <v>32886062</v>
      </c>
      <c r="C89" s="78"/>
      <c r="D89" s="78"/>
      <c r="E89" s="78"/>
      <c r="F89" s="78">
        <v>32886062</v>
      </c>
    </row>
    <row r="90" spans="1:6" x14ac:dyDescent="0.35">
      <c r="A90" s="77" t="s">
        <v>436</v>
      </c>
      <c r="B90" s="78"/>
      <c r="C90" s="78"/>
      <c r="D90" s="78">
        <v>0</v>
      </c>
      <c r="E90" s="78"/>
      <c r="F90" s="78">
        <v>0</v>
      </c>
    </row>
    <row r="91" spans="1:6" x14ac:dyDescent="0.35">
      <c r="A91" s="77" t="s">
        <v>175</v>
      </c>
      <c r="B91" s="78">
        <v>240269293</v>
      </c>
      <c r="C91" s="78"/>
      <c r="D91" s="78"/>
      <c r="E91" s="78"/>
      <c r="F91" s="78">
        <v>240269293</v>
      </c>
    </row>
    <row r="92" spans="1:6" x14ac:dyDescent="0.35">
      <c r="A92" s="77" t="s">
        <v>201</v>
      </c>
      <c r="B92" s="78">
        <v>8643818</v>
      </c>
      <c r="C92" s="78"/>
      <c r="D92" s="78"/>
      <c r="E92" s="78"/>
      <c r="F92" s="78">
        <v>8643818</v>
      </c>
    </row>
    <row r="93" spans="1:6" x14ac:dyDescent="0.35">
      <c r="A93" s="77" t="s">
        <v>260</v>
      </c>
      <c r="B93" s="78">
        <v>18551396</v>
      </c>
      <c r="C93" s="78"/>
      <c r="D93" s="78">
        <v>6694104</v>
      </c>
      <c r="E93" s="78"/>
      <c r="F93" s="78">
        <v>25245500</v>
      </c>
    </row>
    <row r="94" spans="1:6" x14ac:dyDescent="0.35">
      <c r="A94" s="77" t="s">
        <v>131</v>
      </c>
      <c r="B94" s="78">
        <v>24004854</v>
      </c>
      <c r="C94" s="78"/>
      <c r="D94" s="78"/>
      <c r="E94" s="78"/>
      <c r="F94" s="78">
        <v>24004854</v>
      </c>
    </row>
    <row r="95" spans="1:6" x14ac:dyDescent="0.35">
      <c r="A95" s="77" t="s">
        <v>126</v>
      </c>
      <c r="B95" s="78"/>
      <c r="C95" s="78"/>
      <c r="D95" s="78">
        <v>7613479</v>
      </c>
      <c r="E95" s="78"/>
      <c r="F95" s="78">
        <v>7613479</v>
      </c>
    </row>
    <row r="96" spans="1:6" x14ac:dyDescent="0.35">
      <c r="A96" s="77" t="s">
        <v>89</v>
      </c>
      <c r="B96" s="78">
        <v>49500000</v>
      </c>
      <c r="C96" s="78"/>
      <c r="D96" s="78"/>
      <c r="E96" s="78"/>
      <c r="F96" s="78">
        <v>49500000</v>
      </c>
    </row>
    <row r="97" spans="1:6" x14ac:dyDescent="0.35">
      <c r="A97" s="77" t="s">
        <v>135</v>
      </c>
      <c r="B97" s="78">
        <v>1837826</v>
      </c>
      <c r="C97" s="78"/>
      <c r="D97" s="78"/>
      <c r="E97" s="78"/>
      <c r="F97" s="78">
        <v>1837826</v>
      </c>
    </row>
    <row r="98" spans="1:6" x14ac:dyDescent="0.35">
      <c r="A98" s="77" t="s">
        <v>420</v>
      </c>
      <c r="B98" s="78"/>
      <c r="C98" s="78"/>
      <c r="D98" s="78">
        <v>0</v>
      </c>
      <c r="E98" s="78"/>
      <c r="F98" s="78">
        <v>0</v>
      </c>
    </row>
    <row r="99" spans="1:6" x14ac:dyDescent="0.35">
      <c r="A99" s="77" t="s">
        <v>425</v>
      </c>
      <c r="B99" s="78"/>
      <c r="C99" s="78"/>
      <c r="D99" s="78">
        <v>0</v>
      </c>
      <c r="E99" s="78"/>
      <c r="F99" s="78">
        <v>0</v>
      </c>
    </row>
    <row r="100" spans="1:6" x14ac:dyDescent="0.35">
      <c r="A100" s="77" t="s">
        <v>428</v>
      </c>
      <c r="B100" s="78">
        <v>10093100</v>
      </c>
      <c r="C100" s="78"/>
      <c r="D100" s="78"/>
      <c r="E100" s="78"/>
      <c r="F100" s="78">
        <v>10093100</v>
      </c>
    </row>
    <row r="101" spans="1:6" x14ac:dyDescent="0.35">
      <c r="A101" s="77" t="s">
        <v>413</v>
      </c>
      <c r="B101" s="78"/>
      <c r="C101" s="78"/>
      <c r="D101" s="78">
        <v>34458731</v>
      </c>
      <c r="E101" s="78"/>
      <c r="F101" s="78">
        <v>34458731</v>
      </c>
    </row>
    <row r="102" spans="1:6" x14ac:dyDescent="0.35">
      <c r="A102" s="77" t="s">
        <v>414</v>
      </c>
      <c r="B102" s="78"/>
      <c r="C102" s="78"/>
      <c r="D102" s="78">
        <v>71917967</v>
      </c>
      <c r="E102" s="78"/>
      <c r="F102" s="78">
        <v>71917967</v>
      </c>
    </row>
    <row r="103" spans="1:6" x14ac:dyDescent="0.35">
      <c r="A103" s="77" t="s">
        <v>417</v>
      </c>
      <c r="B103" s="78"/>
      <c r="C103" s="78"/>
      <c r="D103" s="78">
        <v>0</v>
      </c>
      <c r="E103" s="78"/>
      <c r="F103" s="78">
        <v>0</v>
      </c>
    </row>
    <row r="104" spans="1:6" x14ac:dyDescent="0.35">
      <c r="A104" s="77" t="s">
        <v>301</v>
      </c>
      <c r="B104" s="78">
        <v>15000000</v>
      </c>
      <c r="C104" s="78"/>
      <c r="D104" s="78"/>
      <c r="E104" s="78"/>
      <c r="F104" s="78">
        <v>15000000</v>
      </c>
    </row>
    <row r="105" spans="1:6" x14ac:dyDescent="0.35">
      <c r="A105" s="77" t="s">
        <v>149</v>
      </c>
      <c r="B105" s="78">
        <v>5622604</v>
      </c>
      <c r="C105" s="78"/>
      <c r="D105" s="78"/>
      <c r="E105" s="78"/>
      <c r="F105" s="78">
        <v>5622604</v>
      </c>
    </row>
    <row r="106" spans="1:6" x14ac:dyDescent="0.35">
      <c r="A106" s="77" t="s">
        <v>471</v>
      </c>
      <c r="B106" s="78"/>
      <c r="C106" s="78">
        <v>244879723</v>
      </c>
      <c r="D106" s="78">
        <v>338209689</v>
      </c>
      <c r="E106" s="78">
        <v>20704739</v>
      </c>
      <c r="F106" s="78">
        <v>603794151</v>
      </c>
    </row>
    <row r="107" spans="1:6" x14ac:dyDescent="0.35">
      <c r="A107" s="77" t="s">
        <v>250</v>
      </c>
      <c r="B107" s="78"/>
      <c r="C107" s="78"/>
      <c r="D107" s="78">
        <v>17761414</v>
      </c>
      <c r="E107" s="78"/>
      <c r="F107" s="78">
        <v>17761414</v>
      </c>
    </row>
    <row r="108" spans="1:6" x14ac:dyDescent="0.35">
      <c r="A108" s="77" t="s">
        <v>65</v>
      </c>
      <c r="B108" s="78">
        <v>28916992</v>
      </c>
      <c r="C108" s="78"/>
      <c r="D108" s="78"/>
      <c r="E108" s="78"/>
      <c r="F108" s="78">
        <v>28916992</v>
      </c>
    </row>
    <row r="109" spans="1:6" x14ac:dyDescent="0.35">
      <c r="A109" s="77" t="s">
        <v>531</v>
      </c>
      <c r="B109" s="78"/>
      <c r="C109" s="78">
        <v>17670781</v>
      </c>
      <c r="D109" s="78"/>
      <c r="E109" s="78"/>
      <c r="F109" s="78">
        <v>17670781</v>
      </c>
    </row>
    <row r="110" spans="1:6" x14ac:dyDescent="0.35">
      <c r="A110" s="77" t="s">
        <v>317</v>
      </c>
      <c r="B110" s="78">
        <v>0</v>
      </c>
      <c r="C110" s="78"/>
      <c r="D110" s="78">
        <v>0</v>
      </c>
      <c r="E110" s="78"/>
      <c r="F110" s="78">
        <v>0</v>
      </c>
    </row>
    <row r="111" spans="1:6" x14ac:dyDescent="0.35">
      <c r="A111" s="77" t="s">
        <v>464</v>
      </c>
      <c r="B111" s="78"/>
      <c r="C111" s="78"/>
      <c r="D111" s="78">
        <v>0</v>
      </c>
      <c r="E111" s="78"/>
      <c r="F111" s="78">
        <v>0</v>
      </c>
    </row>
    <row r="112" spans="1:6" x14ac:dyDescent="0.35">
      <c r="A112" s="77" t="s">
        <v>514</v>
      </c>
      <c r="B112" s="78"/>
      <c r="C112" s="78">
        <v>294000000</v>
      </c>
      <c r="D112" s="78"/>
      <c r="E112" s="78"/>
      <c r="F112" s="78">
        <v>294000000</v>
      </c>
    </row>
    <row r="113" spans="1:6" x14ac:dyDescent="0.35">
      <c r="A113" s="77" t="s">
        <v>509</v>
      </c>
      <c r="B113" s="78"/>
      <c r="C113" s="78">
        <v>54557303</v>
      </c>
      <c r="D113" s="78"/>
      <c r="E113" s="78"/>
      <c r="F113" s="78">
        <v>54557303</v>
      </c>
    </row>
    <row r="114" spans="1:6" x14ac:dyDescent="0.35">
      <c r="A114" s="77" t="s">
        <v>364</v>
      </c>
      <c r="B114" s="78">
        <v>0</v>
      </c>
      <c r="C114" s="78"/>
      <c r="D114" s="78"/>
      <c r="E114" s="78"/>
      <c r="F114" s="78">
        <v>0</v>
      </c>
    </row>
    <row r="115" spans="1:6" x14ac:dyDescent="0.35">
      <c r="A115" s="77" t="s">
        <v>195</v>
      </c>
      <c r="B115" s="78">
        <v>38661277</v>
      </c>
      <c r="C115" s="78"/>
      <c r="D115" s="78"/>
      <c r="E115" s="78"/>
      <c r="F115" s="78">
        <v>38661277</v>
      </c>
    </row>
    <row r="116" spans="1:6" x14ac:dyDescent="0.35">
      <c r="A116" s="77" t="s">
        <v>235</v>
      </c>
      <c r="B116" s="78">
        <v>12512000</v>
      </c>
      <c r="C116" s="78"/>
      <c r="D116" s="78"/>
      <c r="E116" s="78"/>
      <c r="F116" s="78">
        <v>12512000</v>
      </c>
    </row>
    <row r="117" spans="1:6" x14ac:dyDescent="0.35">
      <c r="A117" s="77" t="s">
        <v>336</v>
      </c>
      <c r="B117" s="78"/>
      <c r="C117" s="78"/>
      <c r="D117" s="78">
        <v>2291125</v>
      </c>
      <c r="E117" s="78"/>
      <c r="F117" s="78">
        <v>2291125</v>
      </c>
    </row>
    <row r="118" spans="1:6" x14ac:dyDescent="0.35">
      <c r="A118" s="77" t="s">
        <v>259</v>
      </c>
      <c r="B118" s="78">
        <v>7245828</v>
      </c>
      <c r="C118" s="78"/>
      <c r="D118" s="78"/>
      <c r="E118" s="78"/>
      <c r="F118" s="78">
        <v>7245828</v>
      </c>
    </row>
    <row r="119" spans="1:6" x14ac:dyDescent="0.35">
      <c r="A119" s="77" t="s">
        <v>334</v>
      </c>
      <c r="B119" s="78"/>
      <c r="C119" s="78"/>
      <c r="D119" s="78">
        <v>6317345</v>
      </c>
      <c r="E119" s="78"/>
      <c r="F119" s="78">
        <v>6317345</v>
      </c>
    </row>
    <row r="120" spans="1:6" x14ac:dyDescent="0.35">
      <c r="A120" s="77" t="s">
        <v>243</v>
      </c>
      <c r="B120" s="78">
        <v>29345689</v>
      </c>
      <c r="C120" s="78"/>
      <c r="D120" s="78"/>
      <c r="E120" s="78"/>
      <c r="F120" s="78">
        <v>29345689</v>
      </c>
    </row>
    <row r="121" spans="1:6" x14ac:dyDescent="0.35">
      <c r="A121" s="77" t="s">
        <v>485</v>
      </c>
      <c r="B121" s="78"/>
      <c r="C121" s="78"/>
      <c r="D121" s="78">
        <v>0</v>
      </c>
      <c r="E121" s="78"/>
      <c r="F121" s="78">
        <v>0</v>
      </c>
    </row>
    <row r="122" spans="1:6" x14ac:dyDescent="0.35">
      <c r="A122" s="77" t="s">
        <v>535</v>
      </c>
      <c r="B122" s="78"/>
      <c r="C122" s="78"/>
      <c r="D122" s="78">
        <v>0</v>
      </c>
      <c r="E122" s="78"/>
      <c r="F122" s="78">
        <v>0</v>
      </c>
    </row>
    <row r="123" spans="1:6" x14ac:dyDescent="0.35">
      <c r="A123" s="77" t="s">
        <v>402</v>
      </c>
      <c r="B123" s="78"/>
      <c r="C123" s="78"/>
      <c r="D123" s="78"/>
      <c r="E123" s="78">
        <v>18000000</v>
      </c>
      <c r="F123" s="78">
        <v>18000000</v>
      </c>
    </row>
    <row r="124" spans="1:6" x14ac:dyDescent="0.35">
      <c r="A124" s="77" t="s">
        <v>290</v>
      </c>
      <c r="B124" s="78">
        <v>8856400</v>
      </c>
      <c r="C124" s="78"/>
      <c r="D124" s="78"/>
      <c r="E124" s="78"/>
      <c r="F124" s="78">
        <v>8856400</v>
      </c>
    </row>
    <row r="125" spans="1:6" x14ac:dyDescent="0.35">
      <c r="A125" s="77" t="s">
        <v>501</v>
      </c>
      <c r="B125" s="78"/>
      <c r="C125" s="78"/>
      <c r="D125" s="78">
        <v>26720410</v>
      </c>
      <c r="E125" s="78"/>
      <c r="F125" s="78">
        <v>26720410</v>
      </c>
    </row>
    <row r="126" spans="1:6" x14ac:dyDescent="0.35">
      <c r="A126" s="77" t="s">
        <v>179</v>
      </c>
      <c r="B126" s="78">
        <v>1087601</v>
      </c>
      <c r="C126" s="78"/>
      <c r="D126" s="78"/>
      <c r="E126" s="78"/>
      <c r="F126" s="78">
        <v>1087601</v>
      </c>
    </row>
    <row r="127" spans="1:6" x14ac:dyDescent="0.35">
      <c r="A127" s="77" t="s">
        <v>432</v>
      </c>
      <c r="B127" s="78"/>
      <c r="C127" s="78"/>
      <c r="D127" s="78">
        <v>0</v>
      </c>
      <c r="E127" s="78"/>
      <c r="F127" s="78">
        <v>0</v>
      </c>
    </row>
    <row r="128" spans="1:6" x14ac:dyDescent="0.35">
      <c r="A128" s="77" t="s">
        <v>369</v>
      </c>
      <c r="B128" s="78"/>
      <c r="C128" s="78"/>
      <c r="D128" s="78"/>
      <c r="E128" s="78">
        <v>1226497</v>
      </c>
      <c r="F128" s="78">
        <v>1226497</v>
      </c>
    </row>
    <row r="129" spans="1:6" x14ac:dyDescent="0.35">
      <c r="A129" s="77" t="s">
        <v>292</v>
      </c>
      <c r="B129" s="78">
        <v>3646600</v>
      </c>
      <c r="C129" s="78"/>
      <c r="D129" s="78"/>
      <c r="E129" s="78"/>
      <c r="F129" s="78">
        <v>3646600</v>
      </c>
    </row>
    <row r="130" spans="1:6" x14ac:dyDescent="0.35">
      <c r="A130" s="77" t="s">
        <v>569</v>
      </c>
      <c r="B130" s="78">
        <v>35000000</v>
      </c>
      <c r="C130" s="78"/>
      <c r="D130" s="78">
        <v>49326448</v>
      </c>
      <c r="E130" s="78"/>
      <c r="F130" s="78">
        <v>84326448</v>
      </c>
    </row>
    <row r="131" spans="1:6" x14ac:dyDescent="0.35">
      <c r="A131" s="77" t="s">
        <v>570</v>
      </c>
      <c r="B131" s="78">
        <v>2820795741</v>
      </c>
      <c r="C131" s="78">
        <v>885273458</v>
      </c>
      <c r="D131" s="78">
        <v>3536737649</v>
      </c>
      <c r="E131" s="78">
        <v>749011028</v>
      </c>
      <c r="F131" s="78">
        <v>7991817876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7"/>
  <sheetViews>
    <sheetView tabSelected="1" workbookViewId="0">
      <selection sqref="A1:R177"/>
    </sheetView>
  </sheetViews>
  <sheetFormatPr defaultColWidth="6.54296875" defaultRowHeight="35.5" customHeight="1" x14ac:dyDescent="0.35"/>
  <cols>
    <col min="1" max="1" width="6.6328125" style="1" bestFit="1" customWidth="1"/>
    <col min="2" max="2" width="6.54296875" style="1"/>
    <col min="3" max="3" width="8.453125" style="1" bestFit="1" customWidth="1"/>
    <col min="4" max="4" width="9.7265625" style="1" customWidth="1"/>
    <col min="5" max="5" width="6.54296875" style="1"/>
    <col min="6" max="6" width="8.453125" style="1" bestFit="1" customWidth="1"/>
    <col min="7" max="7" width="8.90625" style="1" customWidth="1"/>
    <col min="8" max="8" width="6.6328125" style="1" bestFit="1" customWidth="1"/>
    <col min="9" max="9" width="12.81640625" style="1" customWidth="1"/>
    <col min="10" max="10" width="10.453125" style="1" customWidth="1"/>
    <col min="11" max="11" width="9.81640625" style="1" customWidth="1"/>
    <col min="12" max="12" width="12.7265625" style="1" customWidth="1"/>
    <col min="13" max="14" width="6.54296875" style="1"/>
    <col min="15" max="15" width="10.54296875" style="1" customWidth="1"/>
    <col min="16" max="16" width="8.453125" style="1" bestFit="1" customWidth="1"/>
    <col min="17" max="16384" width="6.54296875" style="1"/>
  </cols>
  <sheetData>
    <row r="1" spans="1:18" ht="35.5" customHeight="1" x14ac:dyDescent="0.35">
      <c r="A1" s="74" t="s">
        <v>0</v>
      </c>
      <c r="B1" s="74" t="s">
        <v>1</v>
      </c>
      <c r="C1" s="74" t="s">
        <v>2</v>
      </c>
      <c r="D1" s="74" t="s">
        <v>3</v>
      </c>
      <c r="E1" s="74" t="s">
        <v>4</v>
      </c>
      <c r="F1" s="74" t="s">
        <v>5</v>
      </c>
      <c r="G1" s="74" t="s">
        <v>6</v>
      </c>
      <c r="H1" s="74" t="s">
        <v>7</v>
      </c>
      <c r="I1" s="74" t="s">
        <v>8</v>
      </c>
      <c r="J1" s="74" t="s">
        <v>9</v>
      </c>
      <c r="K1" s="74" t="s">
        <v>10</v>
      </c>
      <c r="L1" s="74" t="s">
        <v>11</v>
      </c>
      <c r="M1" s="74" t="s">
        <v>12</v>
      </c>
      <c r="N1" s="74" t="s">
        <v>13</v>
      </c>
      <c r="O1" s="74" t="s">
        <v>14</v>
      </c>
      <c r="P1" s="74" t="s">
        <v>15</v>
      </c>
      <c r="Q1" s="75" t="s">
        <v>16</v>
      </c>
      <c r="R1" s="75" t="s">
        <v>17</v>
      </c>
    </row>
    <row r="2" spans="1:18" ht="35.5" customHeight="1" x14ac:dyDescent="0.35">
      <c r="A2" s="2">
        <v>1</v>
      </c>
      <c r="B2" s="2" t="s">
        <v>18</v>
      </c>
      <c r="C2" s="3">
        <v>45025</v>
      </c>
      <c r="D2" s="4" t="s">
        <v>19</v>
      </c>
      <c r="E2" s="4" t="s">
        <v>20</v>
      </c>
      <c r="F2" s="4" t="s">
        <v>21</v>
      </c>
      <c r="G2" s="4">
        <v>3</v>
      </c>
      <c r="H2" s="4"/>
      <c r="I2" s="4" t="s">
        <v>22</v>
      </c>
      <c r="J2" s="5">
        <v>4833100</v>
      </c>
      <c r="K2" s="4" t="s">
        <v>23</v>
      </c>
      <c r="L2" s="5">
        <v>4833100</v>
      </c>
      <c r="M2" s="4"/>
      <c r="N2" s="4" t="s">
        <v>24</v>
      </c>
      <c r="O2" s="2" t="s">
        <v>25</v>
      </c>
      <c r="P2" s="2" t="s">
        <v>26</v>
      </c>
      <c r="Q2" s="6" t="s">
        <v>27</v>
      </c>
      <c r="R2" s="6" t="s">
        <v>28</v>
      </c>
    </row>
    <row r="3" spans="1:18" ht="35.5" customHeight="1" x14ac:dyDescent="0.35">
      <c r="A3" s="2">
        <v>2</v>
      </c>
      <c r="B3" s="2" t="s">
        <v>18</v>
      </c>
      <c r="C3" s="4" t="s">
        <v>29</v>
      </c>
      <c r="D3" s="4" t="s">
        <v>19</v>
      </c>
      <c r="E3" s="4" t="s">
        <v>20</v>
      </c>
      <c r="F3" s="4" t="s">
        <v>30</v>
      </c>
      <c r="G3" s="4">
        <v>1</v>
      </c>
      <c r="H3" s="4"/>
      <c r="I3" s="4" t="s">
        <v>31</v>
      </c>
      <c r="J3" s="5">
        <v>251559450</v>
      </c>
      <c r="K3" s="4" t="s">
        <v>23</v>
      </c>
      <c r="L3" s="5">
        <v>407600000</v>
      </c>
      <c r="M3" s="4"/>
      <c r="N3" s="4" t="s">
        <v>24</v>
      </c>
      <c r="O3" s="2" t="s">
        <v>32</v>
      </c>
      <c r="P3" s="2" t="s">
        <v>33</v>
      </c>
      <c r="Q3" s="6" t="s">
        <v>27</v>
      </c>
      <c r="R3" s="6" t="s">
        <v>28</v>
      </c>
    </row>
    <row r="4" spans="1:18" ht="35.5" customHeight="1" x14ac:dyDescent="0.35">
      <c r="A4" s="2">
        <v>3</v>
      </c>
      <c r="B4" s="2" t="s">
        <v>18</v>
      </c>
      <c r="C4" s="4" t="s">
        <v>29</v>
      </c>
      <c r="D4" s="4" t="s">
        <v>19</v>
      </c>
      <c r="E4" s="4" t="s">
        <v>20</v>
      </c>
      <c r="F4" s="4" t="s">
        <v>30</v>
      </c>
      <c r="G4" s="4">
        <v>1</v>
      </c>
      <c r="H4" s="4"/>
      <c r="I4" s="4" t="s">
        <v>34</v>
      </c>
      <c r="J4" s="5">
        <v>156039760.79999998</v>
      </c>
      <c r="K4" s="4" t="s">
        <v>23</v>
      </c>
      <c r="L4" s="5"/>
      <c r="M4" s="4"/>
      <c r="N4" s="4" t="s">
        <v>24</v>
      </c>
      <c r="O4" s="2" t="s">
        <v>32</v>
      </c>
      <c r="P4" s="2" t="s">
        <v>33</v>
      </c>
      <c r="Q4" s="6" t="s">
        <v>27</v>
      </c>
      <c r="R4" s="6" t="s">
        <v>28</v>
      </c>
    </row>
    <row r="5" spans="1:18" ht="35.5" customHeight="1" x14ac:dyDescent="0.35">
      <c r="A5" s="2">
        <v>4</v>
      </c>
      <c r="B5" s="2" t="s">
        <v>18</v>
      </c>
      <c r="C5" s="4" t="s">
        <v>35</v>
      </c>
      <c r="D5" s="4" t="s">
        <v>19</v>
      </c>
      <c r="E5" s="4" t="s">
        <v>36</v>
      </c>
      <c r="F5" s="3">
        <v>45269</v>
      </c>
      <c r="G5" s="4">
        <v>11</v>
      </c>
      <c r="H5" s="4"/>
      <c r="I5" s="4" t="s">
        <v>37</v>
      </c>
      <c r="J5" s="4">
        <v>15515784</v>
      </c>
      <c r="K5" s="4" t="s">
        <v>38</v>
      </c>
      <c r="L5" s="5">
        <v>10253000</v>
      </c>
      <c r="M5" s="4"/>
      <c r="N5" s="4" t="s">
        <v>39</v>
      </c>
      <c r="O5" s="2" t="s">
        <v>25</v>
      </c>
      <c r="P5" s="2" t="s">
        <v>40</v>
      </c>
      <c r="Q5" s="7" t="s">
        <v>27</v>
      </c>
      <c r="R5" s="7" t="s">
        <v>41</v>
      </c>
    </row>
    <row r="6" spans="1:18" ht="35.5" customHeight="1" x14ac:dyDescent="0.35">
      <c r="A6" s="2">
        <v>5</v>
      </c>
      <c r="B6" s="2" t="s">
        <v>18</v>
      </c>
      <c r="C6" s="3">
        <v>45087</v>
      </c>
      <c r="D6" s="4" t="s">
        <v>19</v>
      </c>
      <c r="E6" s="4" t="s">
        <v>42</v>
      </c>
      <c r="F6" s="3">
        <v>45087</v>
      </c>
      <c r="G6" s="4">
        <v>27</v>
      </c>
      <c r="H6" s="4"/>
      <c r="I6" s="4" t="s">
        <v>43</v>
      </c>
      <c r="J6" s="5">
        <v>109357429</v>
      </c>
      <c r="K6" s="4" t="s">
        <v>44</v>
      </c>
      <c r="L6" s="5">
        <v>109357429</v>
      </c>
      <c r="M6" s="4"/>
      <c r="N6" s="4" t="s">
        <v>45</v>
      </c>
      <c r="O6" s="2" t="s">
        <v>46</v>
      </c>
      <c r="P6" s="8">
        <v>45117</v>
      </c>
      <c r="Q6" s="7" t="s">
        <v>27</v>
      </c>
      <c r="R6" s="7" t="s">
        <v>41</v>
      </c>
    </row>
    <row r="7" spans="1:18" ht="35.5" customHeight="1" x14ac:dyDescent="0.35">
      <c r="A7" s="2">
        <v>6</v>
      </c>
      <c r="B7" s="2" t="s">
        <v>18</v>
      </c>
      <c r="C7" s="3">
        <v>45087</v>
      </c>
      <c r="D7" s="4" t="s">
        <v>19</v>
      </c>
      <c r="E7" s="4" t="s">
        <v>47</v>
      </c>
      <c r="F7" s="3">
        <v>45147</v>
      </c>
      <c r="G7" s="4">
        <v>7</v>
      </c>
      <c r="H7" s="4"/>
      <c r="I7" s="4" t="s">
        <v>48</v>
      </c>
      <c r="J7" s="5">
        <v>405976933</v>
      </c>
      <c r="K7" s="4" t="s">
        <v>23</v>
      </c>
      <c r="L7" s="5">
        <v>405976933</v>
      </c>
      <c r="M7" s="4"/>
      <c r="N7" s="4" t="s">
        <v>49</v>
      </c>
      <c r="O7" s="2" t="s">
        <v>32</v>
      </c>
      <c r="P7" s="6" t="s">
        <v>50</v>
      </c>
      <c r="Q7" s="7" t="s">
        <v>27</v>
      </c>
      <c r="R7" s="7" t="s">
        <v>41</v>
      </c>
    </row>
    <row r="8" spans="1:18" ht="35.5" customHeight="1" x14ac:dyDescent="0.35">
      <c r="A8" s="2">
        <v>7</v>
      </c>
      <c r="B8" s="2" t="s">
        <v>18</v>
      </c>
      <c r="C8" s="3">
        <v>45179</v>
      </c>
      <c r="D8" s="4" t="s">
        <v>19</v>
      </c>
      <c r="E8" s="4" t="s">
        <v>51</v>
      </c>
      <c r="F8" s="3">
        <v>45628</v>
      </c>
      <c r="G8" s="4">
        <v>2</v>
      </c>
      <c r="H8" s="4"/>
      <c r="I8" s="4" t="s">
        <v>52</v>
      </c>
      <c r="J8" s="5">
        <v>96184323</v>
      </c>
      <c r="K8" s="4" t="s">
        <v>23</v>
      </c>
      <c r="L8" s="5">
        <v>96184323</v>
      </c>
      <c r="M8" s="4"/>
      <c r="N8" s="4" t="s">
        <v>45</v>
      </c>
      <c r="O8" s="2" t="s">
        <v>53</v>
      </c>
      <c r="P8" s="2" t="s">
        <v>26</v>
      </c>
      <c r="Q8" s="6" t="s">
        <v>27</v>
      </c>
      <c r="R8" s="6" t="s">
        <v>28</v>
      </c>
    </row>
    <row r="9" spans="1:18" ht="35.5" customHeight="1" x14ac:dyDescent="0.35">
      <c r="A9" s="2">
        <v>8</v>
      </c>
      <c r="B9" s="2" t="s">
        <v>18</v>
      </c>
      <c r="C9" s="3">
        <v>45179</v>
      </c>
      <c r="D9" s="4" t="s">
        <v>19</v>
      </c>
      <c r="E9" s="4" t="s">
        <v>36</v>
      </c>
      <c r="F9" s="3">
        <v>45269</v>
      </c>
      <c r="G9" s="4">
        <v>18</v>
      </c>
      <c r="H9" s="4"/>
      <c r="I9" s="4" t="s">
        <v>52</v>
      </c>
      <c r="J9" s="5">
        <v>3973610</v>
      </c>
      <c r="K9" s="4" t="s">
        <v>54</v>
      </c>
      <c r="L9" s="5">
        <v>3973610</v>
      </c>
      <c r="M9" s="4"/>
      <c r="N9" s="4" t="s">
        <v>45</v>
      </c>
      <c r="O9" s="2" t="s">
        <v>46</v>
      </c>
      <c r="P9" s="2" t="s">
        <v>26</v>
      </c>
      <c r="Q9" s="7" t="s">
        <v>27</v>
      </c>
      <c r="R9" s="7" t="s">
        <v>41</v>
      </c>
    </row>
    <row r="10" spans="1:18" ht="35.5" customHeight="1" x14ac:dyDescent="0.35">
      <c r="A10" s="2">
        <v>9</v>
      </c>
      <c r="B10" s="2" t="s">
        <v>18</v>
      </c>
      <c r="C10" s="4" t="s">
        <v>55</v>
      </c>
      <c r="D10" s="4" t="s">
        <v>19</v>
      </c>
      <c r="E10" s="4" t="s">
        <v>56</v>
      </c>
      <c r="F10" s="4" t="s">
        <v>57</v>
      </c>
      <c r="G10" s="4">
        <v>17</v>
      </c>
      <c r="H10" s="4"/>
      <c r="I10" s="4" t="s">
        <v>43</v>
      </c>
      <c r="J10" s="5">
        <v>677300000</v>
      </c>
      <c r="K10" s="4" t="s">
        <v>58</v>
      </c>
      <c r="L10" s="5">
        <v>677300000</v>
      </c>
      <c r="M10" s="4"/>
      <c r="N10" s="4" t="s">
        <v>45</v>
      </c>
      <c r="O10" s="2" t="s">
        <v>46</v>
      </c>
      <c r="P10" s="2" t="s">
        <v>26</v>
      </c>
      <c r="Q10" s="7" t="s">
        <v>27</v>
      </c>
      <c r="R10" s="7" t="s">
        <v>41</v>
      </c>
    </row>
    <row r="11" spans="1:18" ht="35.5" customHeight="1" x14ac:dyDescent="0.35">
      <c r="A11" s="2">
        <v>10</v>
      </c>
      <c r="B11" s="2" t="s">
        <v>18</v>
      </c>
      <c r="C11" s="3">
        <v>45239</v>
      </c>
      <c r="D11" s="4" t="s">
        <v>59</v>
      </c>
      <c r="E11" s="4" t="s">
        <v>60</v>
      </c>
      <c r="F11" s="3">
        <v>45055</v>
      </c>
      <c r="G11" s="4">
        <v>55</v>
      </c>
      <c r="H11" s="4"/>
      <c r="I11" s="4" t="s">
        <v>43</v>
      </c>
      <c r="J11" s="5">
        <f>67795831</f>
        <v>67795831</v>
      </c>
      <c r="K11" s="4" t="s">
        <v>54</v>
      </c>
      <c r="L11" s="5">
        <v>67795831</v>
      </c>
      <c r="M11" s="4"/>
      <c r="N11" s="4" t="s">
        <v>45</v>
      </c>
      <c r="O11" s="2" t="s">
        <v>46</v>
      </c>
      <c r="P11" s="2" t="s">
        <v>26</v>
      </c>
      <c r="Q11" s="7" t="s">
        <v>61</v>
      </c>
      <c r="R11" s="7" t="s">
        <v>41</v>
      </c>
    </row>
    <row r="12" spans="1:18" ht="35.5" customHeight="1" x14ac:dyDescent="0.35">
      <c r="A12" s="2">
        <v>11</v>
      </c>
      <c r="B12" s="2" t="s">
        <v>18</v>
      </c>
      <c r="C12" s="4" t="s">
        <v>62</v>
      </c>
      <c r="D12" s="4" t="s">
        <v>19</v>
      </c>
      <c r="E12" s="4" t="s">
        <v>63</v>
      </c>
      <c r="F12" s="3">
        <v>45147</v>
      </c>
      <c r="G12" s="4">
        <f>1+1</f>
        <v>2</v>
      </c>
      <c r="H12" s="4"/>
      <c r="I12" s="4" t="s">
        <v>64</v>
      </c>
      <c r="J12" s="5">
        <f>12633600+6316800</f>
        <v>18950400</v>
      </c>
      <c r="K12" s="4" t="s">
        <v>23</v>
      </c>
      <c r="L12" s="5">
        <v>20000000</v>
      </c>
      <c r="M12" s="4"/>
      <c r="N12" s="4" t="s">
        <v>65</v>
      </c>
      <c r="O12" s="2" t="s">
        <v>66</v>
      </c>
      <c r="P12" s="9" t="s">
        <v>67</v>
      </c>
      <c r="Q12" s="6" t="s">
        <v>27</v>
      </c>
      <c r="R12" s="6" t="s">
        <v>28</v>
      </c>
    </row>
    <row r="13" spans="1:18" ht="35.5" customHeight="1" x14ac:dyDescent="0.35">
      <c r="A13" s="2">
        <v>12</v>
      </c>
      <c r="B13" s="2" t="s">
        <v>18</v>
      </c>
      <c r="C13" s="3">
        <v>44934</v>
      </c>
      <c r="D13" s="4" t="s">
        <v>19</v>
      </c>
      <c r="E13" s="4" t="s">
        <v>68</v>
      </c>
      <c r="F13" s="4" t="s">
        <v>69</v>
      </c>
      <c r="G13" s="4">
        <v>48</v>
      </c>
      <c r="H13" s="4"/>
      <c r="I13" s="4">
        <v>116072692</v>
      </c>
      <c r="J13" s="5">
        <f>23034585+27874560+3569942+110579001+23887500</f>
        <v>188945588</v>
      </c>
      <c r="K13" s="4" t="s">
        <v>54</v>
      </c>
      <c r="L13" s="5">
        <v>157360000</v>
      </c>
      <c r="M13" s="4"/>
      <c r="N13" s="4" t="s">
        <v>70</v>
      </c>
      <c r="O13" s="2" t="s">
        <v>46</v>
      </c>
      <c r="P13" s="9" t="s">
        <v>71</v>
      </c>
      <c r="Q13" s="6" t="s">
        <v>41</v>
      </c>
      <c r="R13" s="6" t="s">
        <v>28</v>
      </c>
    </row>
    <row r="14" spans="1:18" ht="35.5" customHeight="1" x14ac:dyDescent="0.35">
      <c r="A14" s="2">
        <v>13</v>
      </c>
      <c r="B14" s="2" t="s">
        <v>18</v>
      </c>
      <c r="C14" s="4" t="s">
        <v>72</v>
      </c>
      <c r="D14" s="4" t="s">
        <v>19</v>
      </c>
      <c r="E14" s="4" t="s">
        <v>73</v>
      </c>
      <c r="F14" s="3">
        <v>45047</v>
      </c>
      <c r="G14" s="4">
        <v>1</v>
      </c>
      <c r="H14" s="4"/>
      <c r="I14" s="4" t="s">
        <v>74</v>
      </c>
      <c r="J14" s="5">
        <v>8916992</v>
      </c>
      <c r="K14" s="4" t="s">
        <v>75</v>
      </c>
      <c r="L14" s="5">
        <v>8916992</v>
      </c>
      <c r="M14" s="4"/>
      <c r="N14" s="4" t="s">
        <v>65</v>
      </c>
      <c r="O14" s="2" t="s">
        <v>32</v>
      </c>
      <c r="P14" s="2" t="s">
        <v>72</v>
      </c>
      <c r="Q14" s="6" t="s">
        <v>27</v>
      </c>
      <c r="R14" s="6" t="s">
        <v>28</v>
      </c>
    </row>
    <row r="15" spans="1:18" ht="35.5" customHeight="1" x14ac:dyDescent="0.35">
      <c r="A15" s="2">
        <v>14</v>
      </c>
      <c r="B15" s="2" t="s">
        <v>18</v>
      </c>
      <c r="C15" s="3">
        <v>45537</v>
      </c>
      <c r="D15" s="4" t="s">
        <v>19</v>
      </c>
      <c r="E15" s="4" t="s">
        <v>51</v>
      </c>
      <c r="F15" s="4" t="s">
        <v>76</v>
      </c>
      <c r="G15" s="4">
        <v>1</v>
      </c>
      <c r="H15" s="4"/>
      <c r="I15" s="4" t="s">
        <v>77</v>
      </c>
      <c r="J15" s="5">
        <f>600000*717</f>
        <v>430200000</v>
      </c>
      <c r="K15" s="4" t="s">
        <v>78</v>
      </c>
      <c r="L15" s="5">
        <v>430200000</v>
      </c>
      <c r="M15" s="4"/>
      <c r="N15" s="4" t="s">
        <v>24</v>
      </c>
      <c r="O15" s="2" t="s">
        <v>32</v>
      </c>
      <c r="P15" s="2" t="s">
        <v>76</v>
      </c>
      <c r="Q15" s="6" t="s">
        <v>61</v>
      </c>
      <c r="R15" s="6"/>
    </row>
    <row r="16" spans="1:18" ht="35.5" customHeight="1" x14ac:dyDescent="0.35">
      <c r="A16" s="2">
        <v>15</v>
      </c>
      <c r="B16" s="2" t="s">
        <v>18</v>
      </c>
      <c r="C16" s="3">
        <v>45537</v>
      </c>
      <c r="D16" s="4" t="s">
        <v>19</v>
      </c>
      <c r="E16" s="4" t="s">
        <v>51</v>
      </c>
      <c r="F16" s="4" t="s">
        <v>76</v>
      </c>
      <c r="G16" s="4">
        <v>1</v>
      </c>
      <c r="H16" s="4"/>
      <c r="I16" s="4" t="s">
        <v>79</v>
      </c>
      <c r="J16" s="5">
        <f>254*896000</f>
        <v>227584000</v>
      </c>
      <c r="K16" s="4" t="s">
        <v>78</v>
      </c>
      <c r="L16" s="5">
        <v>145092000</v>
      </c>
      <c r="M16" s="4"/>
      <c r="N16" s="4" t="s">
        <v>24</v>
      </c>
      <c r="O16" s="2" t="s">
        <v>32</v>
      </c>
      <c r="P16" s="2" t="s">
        <v>76</v>
      </c>
      <c r="Q16" s="6" t="s">
        <v>61</v>
      </c>
      <c r="R16" s="6"/>
    </row>
    <row r="17" spans="1:18" ht="35.5" customHeight="1" x14ac:dyDescent="0.35">
      <c r="A17" s="2">
        <v>16</v>
      </c>
      <c r="B17" s="2" t="s">
        <v>18</v>
      </c>
      <c r="C17" s="3">
        <v>45149</v>
      </c>
      <c r="D17" s="4" t="s">
        <v>80</v>
      </c>
      <c r="E17" s="4" t="s">
        <v>81</v>
      </c>
      <c r="F17" s="3">
        <v>45180</v>
      </c>
      <c r="G17" s="4">
        <v>1</v>
      </c>
      <c r="H17" s="4"/>
      <c r="I17" s="4" t="s">
        <v>82</v>
      </c>
      <c r="J17" s="5">
        <v>155839306</v>
      </c>
      <c r="K17" s="4" t="s">
        <v>83</v>
      </c>
      <c r="L17" s="5">
        <v>155940750</v>
      </c>
      <c r="M17" s="4" t="s">
        <v>84</v>
      </c>
      <c r="N17" s="4" t="s">
        <v>85</v>
      </c>
      <c r="O17" s="2" t="s">
        <v>32</v>
      </c>
      <c r="P17" s="2" t="s">
        <v>86</v>
      </c>
      <c r="Q17" s="6"/>
      <c r="R17" s="6" t="s">
        <v>28</v>
      </c>
    </row>
    <row r="18" spans="1:18" ht="35.5" customHeight="1" x14ac:dyDescent="0.35">
      <c r="A18" s="2">
        <v>17</v>
      </c>
      <c r="B18" s="2" t="s">
        <v>18</v>
      </c>
      <c r="C18" s="3">
        <v>45294</v>
      </c>
      <c r="D18" s="4" t="s">
        <v>19</v>
      </c>
      <c r="E18" s="4" t="s">
        <v>87</v>
      </c>
      <c r="F18" s="3">
        <v>45294</v>
      </c>
      <c r="G18" s="4">
        <v>1</v>
      </c>
      <c r="H18" s="4"/>
      <c r="I18" s="4" t="s">
        <v>88</v>
      </c>
      <c r="J18" s="5">
        <v>49500000</v>
      </c>
      <c r="K18" s="4" t="s">
        <v>23</v>
      </c>
      <c r="L18" s="5">
        <v>49500000</v>
      </c>
      <c r="M18" s="4"/>
      <c r="N18" s="4" t="s">
        <v>89</v>
      </c>
      <c r="O18" s="2" t="s">
        <v>32</v>
      </c>
      <c r="P18" s="2" t="s">
        <v>90</v>
      </c>
      <c r="Q18" s="6" t="s">
        <v>27</v>
      </c>
      <c r="R18" s="6" t="s">
        <v>28</v>
      </c>
    </row>
    <row r="19" spans="1:18" ht="35.5" customHeight="1" x14ac:dyDescent="0.35">
      <c r="A19" s="2">
        <v>18</v>
      </c>
      <c r="B19" s="2" t="s">
        <v>18</v>
      </c>
      <c r="C19" s="3">
        <v>45239</v>
      </c>
      <c r="D19" s="4" t="s">
        <v>59</v>
      </c>
      <c r="E19" s="4" t="s">
        <v>60</v>
      </c>
      <c r="F19" s="3">
        <v>45055</v>
      </c>
      <c r="G19" s="4">
        <v>8</v>
      </c>
      <c r="H19" s="4"/>
      <c r="I19" s="4" t="s">
        <v>91</v>
      </c>
      <c r="J19" s="5">
        <f>17652430+24670800+15681224</f>
        <v>58004454</v>
      </c>
      <c r="K19" s="4" t="s">
        <v>54</v>
      </c>
      <c r="L19" s="5">
        <v>58004454</v>
      </c>
      <c r="M19" s="11" t="s">
        <v>333</v>
      </c>
      <c r="N19" s="4" t="s">
        <v>92</v>
      </c>
      <c r="O19" s="2" t="s">
        <v>46</v>
      </c>
      <c r="P19" s="6" t="s">
        <v>93</v>
      </c>
      <c r="Q19" s="7"/>
      <c r="R19" s="7" t="s">
        <v>41</v>
      </c>
    </row>
    <row r="20" spans="1:18" ht="35.5" customHeight="1" x14ac:dyDescent="0.35">
      <c r="A20" s="2">
        <v>19</v>
      </c>
      <c r="B20" s="2" t="s">
        <v>18</v>
      </c>
      <c r="C20" s="3">
        <v>45239</v>
      </c>
      <c r="D20" s="4" t="s">
        <v>59</v>
      </c>
      <c r="E20" s="4" t="s">
        <v>60</v>
      </c>
      <c r="F20" s="3">
        <v>45055</v>
      </c>
      <c r="G20" s="4">
        <v>1</v>
      </c>
      <c r="H20" s="4"/>
      <c r="I20" s="4" t="s">
        <v>94</v>
      </c>
      <c r="J20" s="5">
        <v>729960</v>
      </c>
      <c r="K20" s="4" t="s">
        <v>54</v>
      </c>
      <c r="L20" s="5">
        <v>729960</v>
      </c>
      <c r="M20" s="11" t="s">
        <v>333</v>
      </c>
      <c r="N20" s="4" t="s">
        <v>92</v>
      </c>
      <c r="O20" s="2" t="s">
        <v>46</v>
      </c>
      <c r="P20" s="2" t="s">
        <v>90</v>
      </c>
      <c r="Q20" s="6"/>
      <c r="R20" s="6" t="s">
        <v>28</v>
      </c>
    </row>
    <row r="21" spans="1:18" ht="35.5" customHeight="1" x14ac:dyDescent="0.35">
      <c r="A21" s="2">
        <v>20</v>
      </c>
      <c r="B21" s="2" t="s">
        <v>18</v>
      </c>
      <c r="C21" s="3">
        <v>45506</v>
      </c>
      <c r="D21" s="4" t="s">
        <v>19</v>
      </c>
      <c r="E21" s="4" t="s">
        <v>87</v>
      </c>
      <c r="F21" s="4" t="s">
        <v>95</v>
      </c>
      <c r="G21" s="4">
        <v>7</v>
      </c>
      <c r="H21" s="4"/>
      <c r="I21" s="4" t="s">
        <v>96</v>
      </c>
      <c r="J21" s="5">
        <v>75560592</v>
      </c>
      <c r="K21" s="4" t="s">
        <v>97</v>
      </c>
      <c r="L21" s="5">
        <v>75560592</v>
      </c>
      <c r="M21" s="4" t="s">
        <v>98</v>
      </c>
      <c r="N21" s="4" t="s">
        <v>92</v>
      </c>
      <c r="O21" s="2" t="s">
        <v>46</v>
      </c>
      <c r="P21" s="2" t="s">
        <v>99</v>
      </c>
      <c r="Q21" s="10"/>
      <c r="R21" s="10" t="s">
        <v>41</v>
      </c>
    </row>
    <row r="22" spans="1:18" ht="35.5" customHeight="1" x14ac:dyDescent="0.35">
      <c r="A22" s="2">
        <v>21</v>
      </c>
      <c r="B22" s="2" t="s">
        <v>18</v>
      </c>
      <c r="C22" s="4" t="s">
        <v>35</v>
      </c>
      <c r="D22" s="4" t="s">
        <v>19</v>
      </c>
      <c r="E22" s="4" t="s">
        <v>36</v>
      </c>
      <c r="F22" s="3">
        <v>45269</v>
      </c>
      <c r="G22" s="4">
        <v>28</v>
      </c>
      <c r="H22" s="4"/>
      <c r="I22" s="4" t="s">
        <v>100</v>
      </c>
      <c r="J22" s="5">
        <v>12507146</v>
      </c>
      <c r="K22" s="4" t="s">
        <v>101</v>
      </c>
      <c r="L22" s="5">
        <v>12507146</v>
      </c>
      <c r="M22" s="11" t="s">
        <v>102</v>
      </c>
      <c r="N22" s="4" t="s">
        <v>103</v>
      </c>
      <c r="O22" s="2" t="s">
        <v>46</v>
      </c>
      <c r="P22" s="8">
        <v>45449</v>
      </c>
      <c r="Q22" s="11"/>
      <c r="R22" s="11" t="s">
        <v>28</v>
      </c>
    </row>
    <row r="23" spans="1:18" ht="35.5" customHeight="1" x14ac:dyDescent="0.35">
      <c r="A23" s="2">
        <v>22</v>
      </c>
      <c r="B23" s="2" t="s">
        <v>18</v>
      </c>
      <c r="C23" s="12">
        <v>45239</v>
      </c>
      <c r="D23" s="4" t="s">
        <v>59</v>
      </c>
      <c r="E23" s="13" t="s">
        <v>104</v>
      </c>
      <c r="F23" s="12">
        <v>45055</v>
      </c>
      <c r="G23" s="13">
        <v>74</v>
      </c>
      <c r="H23" s="13"/>
      <c r="I23" s="13" t="s">
        <v>105</v>
      </c>
      <c r="J23" s="5">
        <v>232711596</v>
      </c>
      <c r="K23" s="13" t="s">
        <v>54</v>
      </c>
      <c r="L23" s="5">
        <v>282665858</v>
      </c>
      <c r="M23" s="4" t="s">
        <v>84</v>
      </c>
      <c r="N23" s="13" t="s">
        <v>106</v>
      </c>
      <c r="O23" s="14" t="s">
        <v>46</v>
      </c>
      <c r="P23" s="15" t="s">
        <v>107</v>
      </c>
      <c r="Q23" s="16"/>
      <c r="R23" s="16" t="s">
        <v>28</v>
      </c>
    </row>
    <row r="24" spans="1:18" ht="35.5" customHeight="1" x14ac:dyDescent="0.35">
      <c r="A24" s="2">
        <v>23</v>
      </c>
      <c r="B24" s="2" t="s">
        <v>18</v>
      </c>
      <c r="C24" s="3">
        <v>45506</v>
      </c>
      <c r="D24" s="4" t="s">
        <v>19</v>
      </c>
      <c r="E24" s="4" t="s">
        <v>87</v>
      </c>
      <c r="F24" s="4" t="s">
        <v>95</v>
      </c>
      <c r="G24" s="4">
        <v>7</v>
      </c>
      <c r="H24" s="4"/>
      <c r="I24" s="4" t="s">
        <v>108</v>
      </c>
      <c r="J24" s="5">
        <v>75560592</v>
      </c>
      <c r="K24" s="4" t="s">
        <v>97</v>
      </c>
      <c r="L24" s="5">
        <v>75560592</v>
      </c>
      <c r="M24" s="4"/>
      <c r="N24" s="4" t="s">
        <v>92</v>
      </c>
      <c r="O24" s="2" t="s">
        <v>46</v>
      </c>
      <c r="P24" s="2" t="s">
        <v>99</v>
      </c>
      <c r="Q24" s="10"/>
      <c r="R24" s="10" t="s">
        <v>41</v>
      </c>
    </row>
    <row r="25" spans="1:18" ht="35.5" customHeight="1" x14ac:dyDescent="0.35">
      <c r="A25" s="2">
        <v>24</v>
      </c>
      <c r="B25" s="2" t="s">
        <v>18</v>
      </c>
      <c r="C25" s="4" t="s">
        <v>109</v>
      </c>
      <c r="D25" s="4" t="s">
        <v>19</v>
      </c>
      <c r="E25" s="4" t="s">
        <v>47</v>
      </c>
      <c r="F25" s="3">
        <v>44937</v>
      </c>
      <c r="G25" s="4">
        <v>1</v>
      </c>
      <c r="H25" s="4"/>
      <c r="I25" s="4" t="s">
        <v>110</v>
      </c>
      <c r="J25" s="5">
        <f>133333*44</f>
        <v>5866652</v>
      </c>
      <c r="K25" s="4" t="s">
        <v>111</v>
      </c>
      <c r="L25" s="5">
        <v>5866652</v>
      </c>
      <c r="M25" s="4"/>
      <c r="N25" s="4" t="s">
        <v>112</v>
      </c>
      <c r="O25" s="2" t="s">
        <v>32</v>
      </c>
      <c r="P25" s="4"/>
      <c r="Q25" s="11"/>
      <c r="R25" s="11" t="s">
        <v>28</v>
      </c>
    </row>
    <row r="26" spans="1:18" ht="35.5" customHeight="1" x14ac:dyDescent="0.35">
      <c r="A26" s="2">
        <v>25</v>
      </c>
      <c r="B26" s="2" t="s">
        <v>18</v>
      </c>
      <c r="C26" s="4" t="s">
        <v>113</v>
      </c>
      <c r="D26" s="4" t="s">
        <v>19</v>
      </c>
      <c r="E26" s="4" t="s">
        <v>114</v>
      </c>
      <c r="F26" s="4" t="s">
        <v>115</v>
      </c>
      <c r="G26" s="4">
        <v>5</v>
      </c>
      <c r="H26" s="4"/>
      <c r="I26" s="4" t="s">
        <v>100</v>
      </c>
      <c r="J26" s="5">
        <v>10663128</v>
      </c>
      <c r="K26" s="4" t="s">
        <v>116</v>
      </c>
      <c r="L26" s="5">
        <v>10663128</v>
      </c>
      <c r="M26" s="11" t="s">
        <v>102</v>
      </c>
      <c r="N26" s="4" t="s">
        <v>117</v>
      </c>
      <c r="O26" s="2" t="s">
        <v>25</v>
      </c>
      <c r="P26" s="2" t="s">
        <v>118</v>
      </c>
      <c r="Q26" s="11"/>
      <c r="R26" s="11" t="s">
        <v>28</v>
      </c>
    </row>
    <row r="27" spans="1:18" ht="35.5" customHeight="1" x14ac:dyDescent="0.35">
      <c r="A27" s="2">
        <v>26</v>
      </c>
      <c r="B27" s="2" t="s">
        <v>18</v>
      </c>
      <c r="C27" s="4" t="s">
        <v>86</v>
      </c>
      <c r="D27" s="4" t="s">
        <v>19</v>
      </c>
      <c r="E27" s="4" t="s">
        <v>47</v>
      </c>
      <c r="F27" s="3">
        <v>45445</v>
      </c>
      <c r="G27" s="4">
        <v>1</v>
      </c>
      <c r="H27" s="4"/>
      <c r="I27" s="4" t="s">
        <v>119</v>
      </c>
      <c r="J27" s="5">
        <v>14950949</v>
      </c>
      <c r="K27" s="4" t="s">
        <v>23</v>
      </c>
      <c r="L27" s="5">
        <v>14952000</v>
      </c>
      <c r="M27" s="11" t="s">
        <v>120</v>
      </c>
      <c r="N27" s="4" t="s">
        <v>121</v>
      </c>
      <c r="O27" s="2" t="s">
        <v>32</v>
      </c>
      <c r="P27" s="2" t="s">
        <v>122</v>
      </c>
      <c r="Q27" s="10" t="s">
        <v>28</v>
      </c>
      <c r="R27" s="10" t="s">
        <v>28</v>
      </c>
    </row>
    <row r="28" spans="1:18" ht="35.5" customHeight="1" x14ac:dyDescent="0.35">
      <c r="A28" s="2">
        <v>27</v>
      </c>
      <c r="B28" s="2" t="s">
        <v>123</v>
      </c>
      <c r="C28" s="3">
        <v>45572</v>
      </c>
      <c r="D28" s="4" t="s">
        <v>19</v>
      </c>
      <c r="E28" s="4" t="s">
        <v>51</v>
      </c>
      <c r="F28" s="4" t="s">
        <v>124</v>
      </c>
      <c r="G28" s="4">
        <f>3 + 1</f>
        <v>4</v>
      </c>
      <c r="H28" s="4"/>
      <c r="I28" s="4" t="s">
        <v>125</v>
      </c>
      <c r="J28" s="5">
        <f>495879+7117600</f>
        <v>7613479</v>
      </c>
      <c r="K28" s="4" t="s">
        <v>97</v>
      </c>
      <c r="L28" s="5">
        <v>7613479</v>
      </c>
      <c r="M28" s="11" t="s">
        <v>120</v>
      </c>
      <c r="N28" s="4" t="s">
        <v>126</v>
      </c>
      <c r="O28" s="2" t="s">
        <v>127</v>
      </c>
      <c r="P28" s="17">
        <v>45572</v>
      </c>
      <c r="Q28" s="10" t="s">
        <v>41</v>
      </c>
      <c r="R28" s="10" t="s">
        <v>41</v>
      </c>
    </row>
    <row r="29" spans="1:18" ht="35.5" customHeight="1" x14ac:dyDescent="0.35">
      <c r="A29" s="2">
        <v>28</v>
      </c>
      <c r="B29" s="2" t="s">
        <v>18</v>
      </c>
      <c r="C29" s="3">
        <v>45150</v>
      </c>
      <c r="D29" s="4" t="s">
        <v>19</v>
      </c>
      <c r="E29" s="4" t="s">
        <v>47</v>
      </c>
      <c r="F29" s="3">
        <v>45269</v>
      </c>
      <c r="G29" s="4">
        <v>28</v>
      </c>
      <c r="H29" s="4"/>
      <c r="I29" s="4" t="s">
        <v>128</v>
      </c>
      <c r="J29" s="5">
        <v>4851494</v>
      </c>
      <c r="K29" s="4" t="s">
        <v>129</v>
      </c>
      <c r="L29" s="5">
        <v>4851494</v>
      </c>
      <c r="M29" s="11" t="s">
        <v>102</v>
      </c>
      <c r="N29" s="4" t="s">
        <v>130</v>
      </c>
      <c r="O29" s="2" t="s">
        <v>127</v>
      </c>
      <c r="P29" s="3">
        <v>45572</v>
      </c>
      <c r="Q29" s="11"/>
      <c r="R29" s="11" t="s">
        <v>28</v>
      </c>
    </row>
    <row r="30" spans="1:18" ht="35.5" customHeight="1" x14ac:dyDescent="0.35">
      <c r="A30" s="2">
        <v>29</v>
      </c>
      <c r="B30" s="2" t="s">
        <v>18</v>
      </c>
      <c r="C30" s="3">
        <v>45150</v>
      </c>
      <c r="D30" s="4" t="s">
        <v>19</v>
      </c>
      <c r="E30" s="4" t="s">
        <v>51</v>
      </c>
      <c r="F30" s="4" t="s">
        <v>124</v>
      </c>
      <c r="G30" s="4">
        <v>5</v>
      </c>
      <c r="H30" s="4"/>
      <c r="I30" s="4" t="s">
        <v>125</v>
      </c>
      <c r="J30" s="5">
        <f>21004956+2999898</f>
        <v>24004854</v>
      </c>
      <c r="K30" s="4" t="s">
        <v>97</v>
      </c>
      <c r="L30" s="5">
        <v>24004854</v>
      </c>
      <c r="M30" s="11" t="s">
        <v>120</v>
      </c>
      <c r="N30" s="4" t="s">
        <v>131</v>
      </c>
      <c r="O30" s="2" t="s">
        <v>127</v>
      </c>
      <c r="P30" s="18" t="s">
        <v>132</v>
      </c>
      <c r="Q30" s="11" t="s">
        <v>28</v>
      </c>
      <c r="R30" s="11" t="s">
        <v>28</v>
      </c>
    </row>
    <row r="31" spans="1:18" ht="35.5" customHeight="1" x14ac:dyDescent="0.35">
      <c r="A31" s="2">
        <v>30</v>
      </c>
      <c r="B31" s="2" t="s">
        <v>18</v>
      </c>
      <c r="C31" s="3">
        <v>45413</v>
      </c>
      <c r="D31" s="4" t="s">
        <v>19</v>
      </c>
      <c r="E31" s="4" t="s">
        <v>133</v>
      </c>
      <c r="F31" s="3">
        <v>45150</v>
      </c>
      <c r="G31" s="4">
        <v>6</v>
      </c>
      <c r="H31" s="4"/>
      <c r="I31" s="4" t="s">
        <v>134</v>
      </c>
      <c r="J31" s="5">
        <f>1792634+45192</f>
        <v>1837826</v>
      </c>
      <c r="K31" s="4" t="s">
        <v>23</v>
      </c>
      <c r="L31" s="5">
        <v>1837826</v>
      </c>
      <c r="M31" s="4" t="s">
        <v>84</v>
      </c>
      <c r="N31" s="4" t="s">
        <v>135</v>
      </c>
      <c r="O31" s="2" t="s">
        <v>127</v>
      </c>
      <c r="P31" s="4" t="s">
        <v>136</v>
      </c>
      <c r="Q31" s="11"/>
      <c r="R31" s="11" t="s">
        <v>28</v>
      </c>
    </row>
    <row r="32" spans="1:18" ht="35.5" customHeight="1" x14ac:dyDescent="0.35">
      <c r="A32" s="2">
        <v>31</v>
      </c>
      <c r="B32" s="2" t="s">
        <v>18</v>
      </c>
      <c r="C32" s="3">
        <v>45150</v>
      </c>
      <c r="D32" s="4" t="s">
        <v>19</v>
      </c>
      <c r="E32" s="4" t="s">
        <v>51</v>
      </c>
      <c r="F32" s="4" t="s">
        <v>137</v>
      </c>
      <c r="G32" s="4">
        <v>2</v>
      </c>
      <c r="H32" s="4"/>
      <c r="I32" s="4" t="s">
        <v>138</v>
      </c>
      <c r="J32" s="5">
        <v>10770752</v>
      </c>
      <c r="K32" s="4" t="s">
        <v>564</v>
      </c>
      <c r="L32" s="5">
        <v>6535864</v>
      </c>
      <c r="M32" s="11" t="s">
        <v>120</v>
      </c>
      <c r="N32" s="4" t="s">
        <v>139</v>
      </c>
      <c r="O32" s="2" t="s">
        <v>140</v>
      </c>
      <c r="P32" s="19" t="s">
        <v>141</v>
      </c>
      <c r="Q32" s="11" t="s">
        <v>27</v>
      </c>
      <c r="R32" s="11" t="s">
        <v>28</v>
      </c>
    </row>
    <row r="33" spans="1:18" ht="35.5" customHeight="1" x14ac:dyDescent="0.35">
      <c r="A33" s="2">
        <v>32</v>
      </c>
      <c r="B33" s="2" t="s">
        <v>18</v>
      </c>
      <c r="C33" s="3">
        <v>45150</v>
      </c>
      <c r="D33" s="4" t="s">
        <v>19</v>
      </c>
      <c r="E33" s="4" t="s">
        <v>47</v>
      </c>
      <c r="F33" s="3">
        <v>45269</v>
      </c>
      <c r="G33" s="4">
        <v>2</v>
      </c>
      <c r="H33" s="4"/>
      <c r="I33" s="4" t="s">
        <v>142</v>
      </c>
      <c r="J33" s="5">
        <v>2025880</v>
      </c>
      <c r="K33" s="4" t="s">
        <v>129</v>
      </c>
      <c r="L33" s="5">
        <v>2025880</v>
      </c>
      <c r="M33" s="11" t="s">
        <v>102</v>
      </c>
      <c r="N33" s="4" t="s">
        <v>130</v>
      </c>
      <c r="O33" s="2" t="s">
        <v>140</v>
      </c>
      <c r="P33" s="4" t="s">
        <v>143</v>
      </c>
      <c r="Q33" s="11"/>
      <c r="R33" s="11" t="s">
        <v>28</v>
      </c>
    </row>
    <row r="34" spans="1:18" ht="35.5" customHeight="1" x14ac:dyDescent="0.35">
      <c r="A34" s="2">
        <v>33</v>
      </c>
      <c r="B34" s="2" t="s">
        <v>18</v>
      </c>
      <c r="C34" s="3">
        <v>45150</v>
      </c>
      <c r="D34" s="4" t="s">
        <v>19</v>
      </c>
      <c r="E34" s="4" t="s">
        <v>47</v>
      </c>
      <c r="F34" s="3">
        <v>45269</v>
      </c>
      <c r="G34" s="4">
        <v>69</v>
      </c>
      <c r="H34" s="4"/>
      <c r="I34" s="4" t="s">
        <v>144</v>
      </c>
      <c r="J34" s="5">
        <v>26786494</v>
      </c>
      <c r="K34" s="4" t="s">
        <v>129</v>
      </c>
      <c r="L34" s="5">
        <v>26786494</v>
      </c>
      <c r="M34" s="11" t="s">
        <v>102</v>
      </c>
      <c r="N34" s="4" t="s">
        <v>145</v>
      </c>
      <c r="O34" s="2" t="s">
        <v>140</v>
      </c>
      <c r="P34" s="3">
        <v>45331</v>
      </c>
      <c r="Q34" s="11"/>
      <c r="R34" s="11" t="s">
        <v>28</v>
      </c>
    </row>
    <row r="35" spans="1:18" ht="35.5" customHeight="1" x14ac:dyDescent="0.35">
      <c r="A35" s="2">
        <v>34</v>
      </c>
      <c r="B35" s="2" t="s">
        <v>18</v>
      </c>
      <c r="C35" s="3">
        <v>45239</v>
      </c>
      <c r="D35" s="4" t="s">
        <v>59</v>
      </c>
      <c r="E35" s="13" t="s">
        <v>565</v>
      </c>
      <c r="F35" s="3">
        <v>45055</v>
      </c>
      <c r="G35" s="4">
        <v>15</v>
      </c>
      <c r="H35" s="4"/>
      <c r="I35" s="4" t="s">
        <v>146</v>
      </c>
      <c r="J35" s="5">
        <v>17485653</v>
      </c>
      <c r="K35" s="20" t="s">
        <v>566</v>
      </c>
      <c r="L35" s="5">
        <v>32886062</v>
      </c>
      <c r="M35" s="4" t="s">
        <v>84</v>
      </c>
      <c r="N35" s="4" t="s">
        <v>147</v>
      </c>
      <c r="O35" s="2" t="s">
        <v>148</v>
      </c>
      <c r="P35" s="21">
        <v>45574</v>
      </c>
      <c r="Q35" s="22"/>
      <c r="R35" s="22" t="s">
        <v>28</v>
      </c>
    </row>
    <row r="36" spans="1:18" ht="35.5" customHeight="1" x14ac:dyDescent="0.35">
      <c r="A36" s="2">
        <v>35</v>
      </c>
      <c r="B36" s="2" t="s">
        <v>18</v>
      </c>
      <c r="C36" s="3">
        <v>45506</v>
      </c>
      <c r="D36" s="4" t="s">
        <v>19</v>
      </c>
      <c r="E36" s="4" t="s">
        <v>87</v>
      </c>
      <c r="F36" s="4" t="s">
        <v>95</v>
      </c>
      <c r="G36" s="4">
        <v>32</v>
      </c>
      <c r="H36" s="4"/>
      <c r="I36" s="4" t="s">
        <v>96</v>
      </c>
      <c r="J36" s="5">
        <v>22449724</v>
      </c>
      <c r="K36" s="4" t="s">
        <v>97</v>
      </c>
      <c r="L36" s="5">
        <v>5622604</v>
      </c>
      <c r="M36" s="11" t="s">
        <v>102</v>
      </c>
      <c r="N36" s="4" t="s">
        <v>149</v>
      </c>
      <c r="O36" s="2" t="s">
        <v>150</v>
      </c>
      <c r="P36" s="3">
        <v>45635</v>
      </c>
      <c r="Q36" s="11"/>
      <c r="R36" s="11" t="s">
        <v>28</v>
      </c>
    </row>
    <row r="37" spans="1:18" ht="35.5" customHeight="1" x14ac:dyDescent="0.35">
      <c r="A37" s="2">
        <v>36</v>
      </c>
      <c r="B37" s="2" t="s">
        <v>18</v>
      </c>
      <c r="C37" s="23">
        <v>45239</v>
      </c>
      <c r="D37" s="4" t="s">
        <v>59</v>
      </c>
      <c r="E37" s="4" t="s">
        <v>60</v>
      </c>
      <c r="F37" s="12">
        <v>45421</v>
      </c>
      <c r="G37" s="19">
        <v>10</v>
      </c>
      <c r="H37" s="19"/>
      <c r="I37" s="19" t="s">
        <v>151</v>
      </c>
      <c r="J37" s="5">
        <v>6295873</v>
      </c>
      <c r="K37" s="4" t="s">
        <v>97</v>
      </c>
      <c r="L37" s="5">
        <v>9012448</v>
      </c>
      <c r="M37" s="19" t="s">
        <v>152</v>
      </c>
      <c r="N37" s="19" t="s">
        <v>153</v>
      </c>
      <c r="O37" s="2" t="s">
        <v>154</v>
      </c>
      <c r="P37" s="11" t="s">
        <v>155</v>
      </c>
      <c r="Q37" s="11"/>
      <c r="R37" s="11" t="s">
        <v>28</v>
      </c>
    </row>
    <row r="38" spans="1:18" ht="35.5" customHeight="1" x14ac:dyDescent="0.35">
      <c r="A38" s="2">
        <v>37</v>
      </c>
      <c r="B38" s="2" t="s">
        <v>18</v>
      </c>
      <c r="C38" s="21">
        <v>45506</v>
      </c>
      <c r="D38" s="11" t="s">
        <v>19</v>
      </c>
      <c r="E38" s="11" t="s">
        <v>87</v>
      </c>
      <c r="F38" s="11" t="s">
        <v>95</v>
      </c>
      <c r="G38" s="11">
        <v>32</v>
      </c>
      <c r="H38" s="11"/>
      <c r="I38" s="11" t="s">
        <v>96</v>
      </c>
      <c r="J38" s="24">
        <v>37752878</v>
      </c>
      <c r="K38" s="11" t="s">
        <v>97</v>
      </c>
      <c r="L38" s="24">
        <v>37752878</v>
      </c>
      <c r="M38" s="11" t="s">
        <v>102</v>
      </c>
      <c r="N38" s="11" t="s">
        <v>156</v>
      </c>
      <c r="O38" s="6" t="s">
        <v>157</v>
      </c>
      <c r="P38" s="25" t="s">
        <v>158</v>
      </c>
      <c r="Q38" s="11"/>
      <c r="R38" s="11" t="s">
        <v>28</v>
      </c>
    </row>
    <row r="39" spans="1:18" ht="35.5" customHeight="1" x14ac:dyDescent="0.35">
      <c r="A39" s="2">
        <v>38</v>
      </c>
      <c r="B39" s="2"/>
      <c r="C39" s="4"/>
      <c r="D39" s="4" t="s">
        <v>19</v>
      </c>
      <c r="E39" s="4" t="s">
        <v>159</v>
      </c>
      <c r="F39" s="3">
        <v>45147</v>
      </c>
      <c r="G39" s="4">
        <v>1</v>
      </c>
      <c r="H39" s="4"/>
      <c r="I39" s="4" t="s">
        <v>160</v>
      </c>
      <c r="J39" s="5">
        <v>2950500</v>
      </c>
      <c r="K39" s="4" t="s">
        <v>161</v>
      </c>
      <c r="L39" s="5">
        <f t="shared" ref="L39:L40" si="0">J39</f>
        <v>2950500</v>
      </c>
      <c r="M39" s="11" t="s">
        <v>162</v>
      </c>
      <c r="N39" s="4" t="s">
        <v>163</v>
      </c>
      <c r="O39" s="2" t="s">
        <v>157</v>
      </c>
      <c r="P39" s="26" t="s">
        <v>164</v>
      </c>
      <c r="Q39" s="11"/>
      <c r="R39" s="11" t="s">
        <v>28</v>
      </c>
    </row>
    <row r="40" spans="1:18" ht="35.5" customHeight="1" x14ac:dyDescent="0.35">
      <c r="A40" s="2">
        <v>39</v>
      </c>
      <c r="B40" s="2" t="s">
        <v>123</v>
      </c>
      <c r="C40" s="3">
        <v>45605</v>
      </c>
      <c r="D40" s="4" t="s">
        <v>59</v>
      </c>
      <c r="E40" s="4" t="s">
        <v>60</v>
      </c>
      <c r="F40" s="13" t="s">
        <v>165</v>
      </c>
      <c r="G40" s="19">
        <v>2</v>
      </c>
      <c r="H40" s="19"/>
      <c r="I40" s="19" t="s">
        <v>166</v>
      </c>
      <c r="J40" s="5">
        <v>3582480</v>
      </c>
      <c r="K40" s="4" t="s">
        <v>97</v>
      </c>
      <c r="L40" s="5">
        <f t="shared" si="0"/>
        <v>3582480</v>
      </c>
      <c r="M40" s="4" t="s">
        <v>84</v>
      </c>
      <c r="N40" s="19" t="s">
        <v>167</v>
      </c>
      <c r="O40" s="2" t="s">
        <v>168</v>
      </c>
      <c r="P40" s="22" t="s">
        <v>169</v>
      </c>
      <c r="Q40" s="22"/>
      <c r="R40" s="22" t="s">
        <v>28</v>
      </c>
    </row>
    <row r="41" spans="1:18" ht="35.5" customHeight="1" x14ac:dyDescent="0.35">
      <c r="A41" s="2">
        <v>40</v>
      </c>
      <c r="B41" s="2" t="s">
        <v>123</v>
      </c>
      <c r="C41" s="3">
        <v>45605</v>
      </c>
      <c r="D41" s="4" t="s">
        <v>59</v>
      </c>
      <c r="E41" s="4" t="s">
        <v>60</v>
      </c>
      <c r="F41" s="13" t="s">
        <v>165</v>
      </c>
      <c r="G41" s="19">
        <v>1</v>
      </c>
      <c r="H41" s="19"/>
      <c r="I41" s="19" t="s">
        <v>170</v>
      </c>
      <c r="J41" s="5">
        <v>11997720</v>
      </c>
      <c r="K41" s="4" t="s">
        <v>97</v>
      </c>
      <c r="L41" s="5">
        <v>13330800</v>
      </c>
      <c r="M41" s="19" t="s">
        <v>152</v>
      </c>
      <c r="N41" s="19" t="s">
        <v>171</v>
      </c>
      <c r="O41" s="2" t="s">
        <v>168</v>
      </c>
      <c r="P41" s="22" t="s">
        <v>169</v>
      </c>
      <c r="Q41" s="22"/>
      <c r="R41" s="22" t="s">
        <v>28</v>
      </c>
    </row>
    <row r="42" spans="1:18" ht="35.5" customHeight="1" x14ac:dyDescent="0.35">
      <c r="A42" s="2">
        <v>41</v>
      </c>
      <c r="B42" s="2" t="s">
        <v>18</v>
      </c>
      <c r="C42" s="4" t="s">
        <v>76</v>
      </c>
      <c r="D42" s="4" t="s">
        <v>19</v>
      </c>
      <c r="E42" s="4" t="s">
        <v>172</v>
      </c>
      <c r="F42" s="12">
        <v>45628</v>
      </c>
      <c r="G42" s="19">
        <v>8</v>
      </c>
      <c r="H42" s="19"/>
      <c r="I42" s="19" t="s">
        <v>173</v>
      </c>
      <c r="J42" s="5">
        <f>240269293</f>
        <v>240269293</v>
      </c>
      <c r="K42" s="4" t="s">
        <v>161</v>
      </c>
      <c r="L42" s="5">
        <v>240269293</v>
      </c>
      <c r="M42" s="19" t="s">
        <v>174</v>
      </c>
      <c r="N42" s="19" t="s">
        <v>175</v>
      </c>
      <c r="O42" s="2" t="s">
        <v>154</v>
      </c>
      <c r="P42" s="22" t="s">
        <v>176</v>
      </c>
      <c r="Q42" s="27" t="s">
        <v>27</v>
      </c>
      <c r="R42" s="27" t="s">
        <v>28</v>
      </c>
    </row>
    <row r="43" spans="1:18" ht="35.5" customHeight="1" x14ac:dyDescent="0.35">
      <c r="A43" s="2">
        <v>42</v>
      </c>
      <c r="B43" s="2" t="s">
        <v>18</v>
      </c>
      <c r="C43" s="3">
        <v>45239</v>
      </c>
      <c r="D43" s="4" t="s">
        <v>59</v>
      </c>
      <c r="E43" s="4" t="s">
        <v>60</v>
      </c>
      <c r="F43" s="12">
        <v>45421</v>
      </c>
      <c r="G43" s="19">
        <v>1</v>
      </c>
      <c r="H43" s="19"/>
      <c r="I43" s="19" t="s">
        <v>177</v>
      </c>
      <c r="J43" s="5">
        <v>1087601</v>
      </c>
      <c r="K43" s="4" t="s">
        <v>178</v>
      </c>
      <c r="L43" s="5">
        <v>1087601</v>
      </c>
      <c r="M43" s="4" t="s">
        <v>84</v>
      </c>
      <c r="N43" s="19" t="s">
        <v>179</v>
      </c>
      <c r="O43" s="2" t="s">
        <v>180</v>
      </c>
      <c r="P43" s="28">
        <v>45361</v>
      </c>
      <c r="Q43" s="22"/>
      <c r="R43" s="22" t="s">
        <v>28</v>
      </c>
    </row>
    <row r="44" spans="1:18" ht="35.5" customHeight="1" x14ac:dyDescent="0.35">
      <c r="A44" s="2">
        <v>43</v>
      </c>
      <c r="B44" s="2" t="s">
        <v>18</v>
      </c>
      <c r="C44" s="29" t="s">
        <v>181</v>
      </c>
      <c r="D44" s="4" t="s">
        <v>59</v>
      </c>
      <c r="E44" s="4" t="s">
        <v>60</v>
      </c>
      <c r="F44" s="13" t="s">
        <v>165</v>
      </c>
      <c r="G44" s="11">
        <v>1</v>
      </c>
      <c r="H44" s="11"/>
      <c r="I44" s="11" t="s">
        <v>182</v>
      </c>
      <c r="J44" s="5">
        <v>24766493</v>
      </c>
      <c r="K44" s="4" t="s">
        <v>97</v>
      </c>
      <c r="L44" s="5">
        <v>24766493</v>
      </c>
      <c r="M44" s="11" t="s">
        <v>152</v>
      </c>
      <c r="N44" s="11" t="s">
        <v>183</v>
      </c>
      <c r="O44" s="2" t="s">
        <v>184</v>
      </c>
      <c r="P44" s="28">
        <v>45483</v>
      </c>
      <c r="Q44" s="22"/>
      <c r="R44" s="22" t="s">
        <v>28</v>
      </c>
    </row>
    <row r="45" spans="1:18" ht="35.5" customHeight="1" x14ac:dyDescent="0.35">
      <c r="A45" s="2">
        <v>44</v>
      </c>
      <c r="B45" s="2" t="s">
        <v>18</v>
      </c>
      <c r="C45" s="30">
        <v>45239</v>
      </c>
      <c r="D45" s="4" t="s">
        <v>59</v>
      </c>
      <c r="E45" s="4" t="s">
        <v>60</v>
      </c>
      <c r="F45" s="12">
        <v>45421</v>
      </c>
      <c r="G45" s="11">
        <v>3</v>
      </c>
      <c r="H45" s="11"/>
      <c r="I45" s="11" t="s">
        <v>185</v>
      </c>
      <c r="J45" s="5">
        <v>9668511</v>
      </c>
      <c r="K45" s="4" t="s">
        <v>186</v>
      </c>
      <c r="L45" s="5">
        <v>98892183</v>
      </c>
      <c r="M45" s="11" t="s">
        <v>152</v>
      </c>
      <c r="N45" s="11" t="s">
        <v>187</v>
      </c>
      <c r="O45" s="2" t="s">
        <v>184</v>
      </c>
      <c r="P45" s="28">
        <v>45483</v>
      </c>
      <c r="Q45" s="22"/>
      <c r="R45" s="22" t="s">
        <v>28</v>
      </c>
    </row>
    <row r="46" spans="1:18" ht="35.5" customHeight="1" x14ac:dyDescent="0.35">
      <c r="A46" s="2">
        <v>45</v>
      </c>
      <c r="B46" s="2" t="s">
        <v>123</v>
      </c>
      <c r="C46" s="31">
        <v>45545</v>
      </c>
      <c r="D46" s="4" t="s">
        <v>19</v>
      </c>
      <c r="E46" s="4" t="s">
        <v>159</v>
      </c>
      <c r="F46" s="23">
        <v>45545</v>
      </c>
      <c r="G46" s="11">
        <v>1</v>
      </c>
      <c r="H46" s="4"/>
      <c r="I46" s="4" t="s">
        <v>188</v>
      </c>
      <c r="J46" s="5">
        <v>39995960</v>
      </c>
      <c r="K46" s="4" t="s">
        <v>189</v>
      </c>
      <c r="L46" s="5">
        <v>39995960</v>
      </c>
      <c r="M46" s="11" t="s">
        <v>162</v>
      </c>
      <c r="N46" s="11" t="s">
        <v>190</v>
      </c>
      <c r="O46" s="2" t="s">
        <v>157</v>
      </c>
      <c r="P46" s="28">
        <v>45606</v>
      </c>
      <c r="Q46" s="11"/>
      <c r="R46" s="11" t="s">
        <v>28</v>
      </c>
    </row>
    <row r="47" spans="1:18" ht="35.5" customHeight="1" x14ac:dyDescent="0.35">
      <c r="A47" s="2">
        <v>46</v>
      </c>
      <c r="B47" s="2" t="s">
        <v>123</v>
      </c>
      <c r="C47" s="30">
        <v>45545</v>
      </c>
      <c r="D47" s="4" t="s">
        <v>19</v>
      </c>
      <c r="E47" s="4" t="s">
        <v>159</v>
      </c>
      <c r="F47" s="23">
        <v>45545</v>
      </c>
      <c r="G47" s="11">
        <v>1</v>
      </c>
      <c r="H47" s="4"/>
      <c r="I47" s="4" t="s">
        <v>191</v>
      </c>
      <c r="J47" s="5">
        <v>409500</v>
      </c>
      <c r="K47" s="4" t="s">
        <v>189</v>
      </c>
      <c r="L47" s="5">
        <v>409500</v>
      </c>
      <c r="M47" s="11" t="s">
        <v>162</v>
      </c>
      <c r="N47" s="11" t="s">
        <v>192</v>
      </c>
      <c r="O47" s="2" t="s">
        <v>157</v>
      </c>
      <c r="P47" s="28">
        <v>45606</v>
      </c>
      <c r="Q47" s="11"/>
      <c r="R47" s="11" t="s">
        <v>28</v>
      </c>
    </row>
    <row r="48" spans="1:18" ht="35.5" customHeight="1" x14ac:dyDescent="0.35">
      <c r="A48" s="2">
        <v>47</v>
      </c>
      <c r="B48" s="2" t="s">
        <v>18</v>
      </c>
      <c r="C48" s="32" t="s">
        <v>181</v>
      </c>
      <c r="D48" s="4" t="s">
        <v>59</v>
      </c>
      <c r="E48" s="4" t="s">
        <v>60</v>
      </c>
      <c r="F48" s="13" t="s">
        <v>165</v>
      </c>
      <c r="G48" s="11">
        <v>2</v>
      </c>
      <c r="H48" s="4"/>
      <c r="I48" s="4" t="s">
        <v>193</v>
      </c>
      <c r="J48" s="5">
        <v>3316340</v>
      </c>
      <c r="K48" s="4" t="s">
        <v>194</v>
      </c>
      <c r="L48" s="5">
        <v>3318040</v>
      </c>
      <c r="M48" s="4" t="s">
        <v>84</v>
      </c>
      <c r="N48" s="4" t="s">
        <v>195</v>
      </c>
      <c r="O48" s="2" t="s">
        <v>196</v>
      </c>
      <c r="P48" s="28">
        <v>45483</v>
      </c>
      <c r="Q48" s="22"/>
      <c r="R48" s="22" t="s">
        <v>28</v>
      </c>
    </row>
    <row r="49" spans="1:18" ht="35.5" customHeight="1" x14ac:dyDescent="0.35">
      <c r="A49" s="2">
        <v>48</v>
      </c>
      <c r="B49" s="2" t="s">
        <v>18</v>
      </c>
      <c r="C49" s="33">
        <v>45293</v>
      </c>
      <c r="D49" s="4" t="s">
        <v>19</v>
      </c>
      <c r="E49" s="4" t="s">
        <v>56</v>
      </c>
      <c r="F49" s="3">
        <v>44938</v>
      </c>
      <c r="G49" s="4">
        <v>1</v>
      </c>
      <c r="H49" s="4"/>
      <c r="I49" s="4" t="s">
        <v>197</v>
      </c>
      <c r="J49" s="5">
        <v>35000007</v>
      </c>
      <c r="K49" s="4" t="s">
        <v>23</v>
      </c>
      <c r="L49" s="5">
        <v>35000000</v>
      </c>
      <c r="M49" s="11"/>
      <c r="N49" s="4"/>
      <c r="O49" s="2" t="s">
        <v>198</v>
      </c>
      <c r="P49" s="34">
        <v>45606</v>
      </c>
      <c r="Q49" s="11" t="s">
        <v>28</v>
      </c>
      <c r="R49" s="11" t="s">
        <v>28</v>
      </c>
    </row>
    <row r="50" spans="1:18" ht="35.5" customHeight="1" x14ac:dyDescent="0.35">
      <c r="A50" s="2">
        <v>49</v>
      </c>
      <c r="B50" s="2" t="s">
        <v>18</v>
      </c>
      <c r="C50" s="33">
        <v>45210</v>
      </c>
      <c r="D50" s="4" t="s">
        <v>19</v>
      </c>
      <c r="E50" s="4" t="s">
        <v>87</v>
      </c>
      <c r="F50" s="4" t="s">
        <v>199</v>
      </c>
      <c r="G50" s="4">
        <v>6</v>
      </c>
      <c r="H50" s="4"/>
      <c r="I50" s="4" t="s">
        <v>200</v>
      </c>
      <c r="J50" s="5">
        <v>8643818</v>
      </c>
      <c r="K50" s="4" t="s">
        <v>23</v>
      </c>
      <c r="L50" s="5">
        <v>8643818</v>
      </c>
      <c r="M50" s="11" t="s">
        <v>120</v>
      </c>
      <c r="N50" s="26" t="s">
        <v>201</v>
      </c>
      <c r="O50" s="2" t="s">
        <v>140</v>
      </c>
      <c r="P50" s="35">
        <v>45420</v>
      </c>
      <c r="Q50" s="22" t="s">
        <v>28</v>
      </c>
      <c r="R50" s="22" t="s">
        <v>28</v>
      </c>
    </row>
    <row r="51" spans="1:18" ht="35.5" customHeight="1" x14ac:dyDescent="0.35">
      <c r="A51" s="2">
        <v>50</v>
      </c>
      <c r="B51" s="2" t="s">
        <v>123</v>
      </c>
      <c r="C51" s="19" t="s">
        <v>202</v>
      </c>
      <c r="D51" s="4" t="s">
        <v>19</v>
      </c>
      <c r="E51" s="4" t="s">
        <v>203</v>
      </c>
      <c r="F51" s="4" t="s">
        <v>204</v>
      </c>
      <c r="G51" s="11">
        <v>1</v>
      </c>
      <c r="H51" s="11"/>
      <c r="I51" s="11" t="s">
        <v>205</v>
      </c>
      <c r="J51" s="24">
        <v>47964977</v>
      </c>
      <c r="K51" s="11" t="s">
        <v>23</v>
      </c>
      <c r="L51" s="5">
        <v>47964977</v>
      </c>
      <c r="M51" s="11" t="s">
        <v>120</v>
      </c>
      <c r="N51" s="4" t="s">
        <v>206</v>
      </c>
      <c r="O51" s="2" t="s">
        <v>196</v>
      </c>
      <c r="P51" s="34">
        <v>45606</v>
      </c>
      <c r="Q51" s="11" t="s">
        <v>27</v>
      </c>
      <c r="R51" s="11" t="s">
        <v>28</v>
      </c>
    </row>
    <row r="52" spans="1:18" ht="35.5" customHeight="1" x14ac:dyDescent="0.35">
      <c r="A52" s="2">
        <v>51</v>
      </c>
      <c r="B52" s="2" t="s">
        <v>18</v>
      </c>
      <c r="C52" s="33">
        <v>45150</v>
      </c>
      <c r="D52" s="4" t="s">
        <v>19</v>
      </c>
      <c r="E52" s="4" t="s">
        <v>51</v>
      </c>
      <c r="F52" s="4" t="s">
        <v>124</v>
      </c>
      <c r="G52" s="4">
        <v>1</v>
      </c>
      <c r="H52" s="4"/>
      <c r="I52" s="4" t="s">
        <v>125</v>
      </c>
      <c r="J52" s="5">
        <v>3926961</v>
      </c>
      <c r="K52" s="4" t="s">
        <v>23</v>
      </c>
      <c r="L52" s="5">
        <v>3927000</v>
      </c>
      <c r="M52" s="11" t="s">
        <v>120</v>
      </c>
      <c r="N52" s="26" t="s">
        <v>207</v>
      </c>
      <c r="O52" s="2" t="s">
        <v>157</v>
      </c>
      <c r="P52" s="35">
        <v>45606</v>
      </c>
      <c r="Q52" s="22" t="s">
        <v>28</v>
      </c>
      <c r="R52" s="22" t="s">
        <v>28</v>
      </c>
    </row>
    <row r="53" spans="1:18" ht="35.5" customHeight="1" x14ac:dyDescent="0.35">
      <c r="A53" s="2">
        <v>52</v>
      </c>
      <c r="B53" s="2" t="s">
        <v>18</v>
      </c>
      <c r="C53" s="33">
        <v>45239</v>
      </c>
      <c r="D53" s="4" t="s">
        <v>59</v>
      </c>
      <c r="E53" s="4" t="s">
        <v>60</v>
      </c>
      <c r="F53" s="12">
        <v>45055</v>
      </c>
      <c r="G53" s="11">
        <v>6</v>
      </c>
      <c r="H53" s="19"/>
      <c r="I53" s="19" t="s">
        <v>151</v>
      </c>
      <c r="J53" s="5">
        <v>10255729</v>
      </c>
      <c r="K53" s="4" t="s">
        <v>97</v>
      </c>
      <c r="L53" s="5">
        <v>11397778</v>
      </c>
      <c r="M53" s="4" t="s">
        <v>84</v>
      </c>
      <c r="N53" s="4" t="s">
        <v>208</v>
      </c>
      <c r="O53" s="2" t="s">
        <v>196</v>
      </c>
      <c r="P53" s="11" t="s">
        <v>209</v>
      </c>
      <c r="Q53" s="22"/>
      <c r="R53" s="22" t="s">
        <v>28</v>
      </c>
    </row>
    <row r="54" spans="1:18" ht="35.5" customHeight="1" x14ac:dyDescent="0.35">
      <c r="A54" s="2">
        <v>53</v>
      </c>
      <c r="B54" s="2" t="s">
        <v>18</v>
      </c>
      <c r="C54" s="36">
        <v>45239</v>
      </c>
      <c r="D54" s="4" t="s">
        <v>59</v>
      </c>
      <c r="E54" s="4" t="s">
        <v>60</v>
      </c>
      <c r="F54" s="12">
        <v>45055</v>
      </c>
      <c r="G54" s="11">
        <v>24</v>
      </c>
      <c r="H54" s="19"/>
      <c r="I54" s="19" t="s">
        <v>210</v>
      </c>
      <c r="J54" s="5">
        <v>66458194</v>
      </c>
      <c r="K54" s="4" t="s">
        <v>97</v>
      </c>
      <c r="L54" s="5">
        <v>80440242</v>
      </c>
      <c r="M54" s="4" t="s">
        <v>152</v>
      </c>
      <c r="N54" s="4" t="s">
        <v>211</v>
      </c>
      <c r="O54" s="2" t="s">
        <v>196</v>
      </c>
      <c r="P54" s="11" t="s">
        <v>209</v>
      </c>
      <c r="Q54" s="22"/>
      <c r="R54" s="22" t="s">
        <v>28</v>
      </c>
    </row>
    <row r="55" spans="1:18" ht="35.5" customHeight="1" x14ac:dyDescent="0.35">
      <c r="A55" s="2">
        <v>54</v>
      </c>
      <c r="B55" s="2" t="s">
        <v>18</v>
      </c>
      <c r="C55" s="37" t="s">
        <v>181</v>
      </c>
      <c r="D55" s="4" t="s">
        <v>59</v>
      </c>
      <c r="E55" s="4" t="s">
        <v>60</v>
      </c>
      <c r="F55" s="13" t="s">
        <v>165</v>
      </c>
      <c r="G55" s="11">
        <v>1</v>
      </c>
      <c r="H55" s="19"/>
      <c r="I55" s="19" t="s">
        <v>212</v>
      </c>
      <c r="J55" s="5">
        <v>3513741</v>
      </c>
      <c r="K55" s="4" t="s">
        <v>97</v>
      </c>
      <c r="L55" s="5">
        <f>J55</f>
        <v>3513741</v>
      </c>
      <c r="M55" s="4" t="s">
        <v>152</v>
      </c>
      <c r="N55" s="4" t="s">
        <v>213</v>
      </c>
      <c r="O55" s="2" t="s">
        <v>196</v>
      </c>
      <c r="P55" s="11" t="s">
        <v>214</v>
      </c>
      <c r="Q55" s="22"/>
      <c r="R55" s="22" t="s">
        <v>28</v>
      </c>
    </row>
    <row r="56" spans="1:18" ht="35.5" customHeight="1" x14ac:dyDescent="0.35">
      <c r="A56" s="2">
        <v>55</v>
      </c>
      <c r="B56" s="2" t="s">
        <v>18</v>
      </c>
      <c r="C56" s="32" t="s">
        <v>181</v>
      </c>
      <c r="D56" s="4" t="s">
        <v>59</v>
      </c>
      <c r="E56" s="4" t="s">
        <v>60</v>
      </c>
      <c r="F56" s="13" t="s">
        <v>165</v>
      </c>
      <c r="G56" s="11">
        <v>8</v>
      </c>
      <c r="H56" s="19"/>
      <c r="I56" s="19" t="s">
        <v>215</v>
      </c>
      <c r="J56" s="5">
        <v>26967627</v>
      </c>
      <c r="K56" s="4" t="s">
        <v>97</v>
      </c>
      <c r="L56" s="5">
        <v>28614930</v>
      </c>
      <c r="M56" s="4" t="s">
        <v>84</v>
      </c>
      <c r="N56" s="4" t="s">
        <v>216</v>
      </c>
      <c r="O56" s="2" t="s">
        <v>196</v>
      </c>
      <c r="P56" s="11" t="s">
        <v>217</v>
      </c>
      <c r="Q56" s="22"/>
      <c r="R56" s="22" t="s">
        <v>28</v>
      </c>
    </row>
    <row r="57" spans="1:18" ht="35.5" customHeight="1" x14ac:dyDescent="0.35">
      <c r="A57" s="2">
        <v>56</v>
      </c>
      <c r="B57" s="2" t="s">
        <v>18</v>
      </c>
      <c r="C57" s="32" t="s">
        <v>181</v>
      </c>
      <c r="D57" s="4" t="s">
        <v>59</v>
      </c>
      <c r="E57" s="4" t="s">
        <v>60</v>
      </c>
      <c r="F57" s="13" t="s">
        <v>165</v>
      </c>
      <c r="G57" s="11">
        <v>13</v>
      </c>
      <c r="H57" s="19"/>
      <c r="I57" s="19" t="s">
        <v>218</v>
      </c>
      <c r="J57" s="5">
        <v>32994400</v>
      </c>
      <c r="K57" s="4" t="s">
        <v>97</v>
      </c>
      <c r="L57" s="5">
        <v>39454128</v>
      </c>
      <c r="M57" s="4" t="s">
        <v>84</v>
      </c>
      <c r="N57" s="4" t="s">
        <v>219</v>
      </c>
      <c r="O57" s="2" t="s">
        <v>196</v>
      </c>
      <c r="P57" s="11" t="s">
        <v>220</v>
      </c>
      <c r="Q57" s="22"/>
      <c r="R57" s="22" t="s">
        <v>28</v>
      </c>
    </row>
    <row r="58" spans="1:18" ht="35.5" customHeight="1" x14ac:dyDescent="0.35">
      <c r="A58" s="2">
        <v>57</v>
      </c>
      <c r="B58" s="2" t="s">
        <v>18</v>
      </c>
      <c r="C58" s="32" t="s">
        <v>181</v>
      </c>
      <c r="D58" s="4" t="s">
        <v>59</v>
      </c>
      <c r="E58" s="4" t="s">
        <v>60</v>
      </c>
      <c r="F58" s="13" t="s">
        <v>165</v>
      </c>
      <c r="G58" s="11">
        <v>6</v>
      </c>
      <c r="H58" s="19"/>
      <c r="I58" s="19" t="s">
        <v>221</v>
      </c>
      <c r="J58" s="5">
        <v>6422349</v>
      </c>
      <c r="K58" s="4" t="s">
        <v>97</v>
      </c>
      <c r="L58" s="5">
        <v>8140660</v>
      </c>
      <c r="M58" s="4" t="s">
        <v>84</v>
      </c>
      <c r="N58" s="4" t="s">
        <v>222</v>
      </c>
      <c r="O58" s="2" t="s">
        <v>196</v>
      </c>
      <c r="P58" s="11" t="s">
        <v>223</v>
      </c>
      <c r="Q58" s="22"/>
      <c r="R58" s="22" t="s">
        <v>28</v>
      </c>
    </row>
    <row r="59" spans="1:18" ht="35.5" customHeight="1" x14ac:dyDescent="0.35">
      <c r="A59" s="2">
        <v>58</v>
      </c>
      <c r="B59" s="2" t="s">
        <v>18</v>
      </c>
      <c r="C59" s="32" t="s">
        <v>181</v>
      </c>
      <c r="D59" s="4" t="s">
        <v>59</v>
      </c>
      <c r="E59" s="4" t="s">
        <v>60</v>
      </c>
      <c r="F59" s="13" t="s">
        <v>165</v>
      </c>
      <c r="G59" s="11">
        <v>3</v>
      </c>
      <c r="H59" s="19"/>
      <c r="I59" s="19" t="s">
        <v>224</v>
      </c>
      <c r="J59" s="5">
        <v>1893059</v>
      </c>
      <c r="K59" s="4" t="s">
        <v>97</v>
      </c>
      <c r="L59" s="5">
        <v>4876946</v>
      </c>
      <c r="M59" s="4" t="s">
        <v>84</v>
      </c>
      <c r="N59" s="4" t="s">
        <v>225</v>
      </c>
      <c r="O59" s="2" t="s">
        <v>196</v>
      </c>
      <c r="P59" s="11" t="s">
        <v>226</v>
      </c>
      <c r="Q59" s="22"/>
      <c r="R59" s="22" t="s">
        <v>28</v>
      </c>
    </row>
    <row r="60" spans="1:18" ht="35.5" customHeight="1" x14ac:dyDescent="0.35">
      <c r="A60" s="2">
        <v>59</v>
      </c>
      <c r="B60" s="2" t="s">
        <v>18</v>
      </c>
      <c r="C60" s="32" t="s">
        <v>181</v>
      </c>
      <c r="D60" s="4" t="s">
        <v>59</v>
      </c>
      <c r="E60" s="4" t="s">
        <v>60</v>
      </c>
      <c r="F60" s="13" t="s">
        <v>165</v>
      </c>
      <c r="G60" s="11">
        <v>7</v>
      </c>
      <c r="H60" s="19"/>
      <c r="I60" s="19" t="s">
        <v>227</v>
      </c>
      <c r="J60" s="5">
        <v>11568871</v>
      </c>
      <c r="K60" s="4" t="s">
        <v>97</v>
      </c>
      <c r="L60" s="5">
        <v>11568871</v>
      </c>
      <c r="M60" s="4" t="s">
        <v>84</v>
      </c>
      <c r="N60" s="4" t="s">
        <v>228</v>
      </c>
      <c r="O60" s="2" t="s">
        <v>196</v>
      </c>
      <c r="P60" s="11" t="s">
        <v>226</v>
      </c>
      <c r="Q60" s="22"/>
      <c r="R60" s="22" t="s">
        <v>28</v>
      </c>
    </row>
    <row r="61" spans="1:18" ht="35.5" customHeight="1" x14ac:dyDescent="0.35">
      <c r="A61" s="2">
        <v>60</v>
      </c>
      <c r="B61" s="2" t="s">
        <v>18</v>
      </c>
      <c r="C61" s="37" t="s">
        <v>181</v>
      </c>
      <c r="D61" s="4" t="s">
        <v>59</v>
      </c>
      <c r="E61" s="4" t="s">
        <v>60</v>
      </c>
      <c r="F61" s="13" t="s">
        <v>165</v>
      </c>
      <c r="G61" s="11">
        <v>6</v>
      </c>
      <c r="H61" s="19"/>
      <c r="I61" s="19" t="s">
        <v>229</v>
      </c>
      <c r="J61" s="5">
        <v>37866472</v>
      </c>
      <c r="K61" s="4" t="s">
        <v>97</v>
      </c>
      <c r="L61" s="5">
        <v>37866472</v>
      </c>
      <c r="M61" s="4" t="s">
        <v>84</v>
      </c>
      <c r="N61" s="4" t="s">
        <v>230</v>
      </c>
      <c r="O61" s="2" t="s">
        <v>196</v>
      </c>
      <c r="P61" s="11" t="s">
        <v>231</v>
      </c>
      <c r="Q61" s="22"/>
      <c r="R61" s="22" t="s">
        <v>28</v>
      </c>
    </row>
    <row r="62" spans="1:18" ht="35.5" customHeight="1" x14ac:dyDescent="0.35">
      <c r="A62" s="2">
        <v>61</v>
      </c>
      <c r="B62" s="2" t="s">
        <v>123</v>
      </c>
      <c r="C62" s="29" t="s">
        <v>232</v>
      </c>
      <c r="D62" s="4" t="s">
        <v>19</v>
      </c>
      <c r="E62" s="4" t="s">
        <v>233</v>
      </c>
      <c r="F62" s="13" t="s">
        <v>124</v>
      </c>
      <c r="G62" s="11">
        <v>3</v>
      </c>
      <c r="H62" s="19"/>
      <c r="I62" s="19" t="s">
        <v>234</v>
      </c>
      <c r="J62" s="5">
        <v>11070950</v>
      </c>
      <c r="K62" s="4"/>
      <c r="L62" s="5">
        <v>12512000</v>
      </c>
      <c r="M62" s="11" t="s">
        <v>120</v>
      </c>
      <c r="N62" s="4" t="s">
        <v>235</v>
      </c>
      <c r="O62" s="2" t="s">
        <v>196</v>
      </c>
      <c r="P62" s="21">
        <v>45394</v>
      </c>
      <c r="Q62" s="38" t="s">
        <v>28</v>
      </c>
      <c r="R62" s="38" t="s">
        <v>28</v>
      </c>
    </row>
    <row r="63" spans="1:18" ht="35.5" customHeight="1" x14ac:dyDescent="0.35">
      <c r="A63" s="2">
        <v>62</v>
      </c>
      <c r="B63" s="2" t="s">
        <v>18</v>
      </c>
      <c r="C63" s="37" t="s">
        <v>181</v>
      </c>
      <c r="D63" s="4" t="s">
        <v>59</v>
      </c>
      <c r="E63" s="4" t="s">
        <v>60</v>
      </c>
      <c r="F63" s="13" t="s">
        <v>165</v>
      </c>
      <c r="G63" s="11">
        <v>4</v>
      </c>
      <c r="H63" s="4"/>
      <c r="I63" s="4" t="s">
        <v>236</v>
      </c>
      <c r="J63" s="5">
        <v>12418503</v>
      </c>
      <c r="K63" s="4" t="s">
        <v>97</v>
      </c>
      <c r="L63" s="5">
        <v>15329494</v>
      </c>
      <c r="M63" s="4" t="s">
        <v>84</v>
      </c>
      <c r="N63" s="4" t="s">
        <v>195</v>
      </c>
      <c r="O63" s="2" t="s">
        <v>196</v>
      </c>
      <c r="P63" s="28">
        <v>45608</v>
      </c>
      <c r="Q63" s="22"/>
      <c r="R63" s="22" t="s">
        <v>28</v>
      </c>
    </row>
    <row r="64" spans="1:18" ht="35.5" customHeight="1" x14ac:dyDescent="0.35">
      <c r="A64" s="2">
        <v>63</v>
      </c>
      <c r="B64" s="2" t="s">
        <v>18</v>
      </c>
      <c r="C64" s="32" t="s">
        <v>181</v>
      </c>
      <c r="D64" s="4" t="s">
        <v>59</v>
      </c>
      <c r="E64" s="4" t="s">
        <v>60</v>
      </c>
      <c r="F64" s="13" t="s">
        <v>165</v>
      </c>
      <c r="G64" s="11">
        <v>5</v>
      </c>
      <c r="H64" s="4"/>
      <c r="I64" s="4" t="s">
        <v>237</v>
      </c>
      <c r="J64" s="5">
        <v>13921026</v>
      </c>
      <c r="K64" s="4" t="s">
        <v>97</v>
      </c>
      <c r="L64" s="5">
        <v>15663665</v>
      </c>
      <c r="M64" s="4" t="s">
        <v>84</v>
      </c>
      <c r="N64" s="4" t="s">
        <v>195</v>
      </c>
      <c r="O64" s="2" t="s">
        <v>196</v>
      </c>
      <c r="P64" s="11" t="s">
        <v>238</v>
      </c>
      <c r="Q64" s="22"/>
      <c r="R64" s="22" t="s">
        <v>28</v>
      </c>
    </row>
    <row r="65" spans="1:18" ht="35.5" customHeight="1" x14ac:dyDescent="0.35">
      <c r="A65" s="2">
        <v>64</v>
      </c>
      <c r="B65" s="2" t="s">
        <v>18</v>
      </c>
      <c r="C65" s="37" t="s">
        <v>181</v>
      </c>
      <c r="D65" s="4" t="s">
        <v>59</v>
      </c>
      <c r="E65" s="4" t="s">
        <v>60</v>
      </c>
      <c r="F65" s="13" t="s">
        <v>165</v>
      </c>
      <c r="G65" s="11">
        <v>12</v>
      </c>
      <c r="H65" s="4"/>
      <c r="I65" s="4" t="s">
        <v>239</v>
      </c>
      <c r="J65" s="5">
        <v>51756358</v>
      </c>
      <c r="K65" s="4" t="s">
        <v>97</v>
      </c>
      <c r="L65" s="5">
        <v>63855210</v>
      </c>
      <c r="M65" s="4" t="s">
        <v>152</v>
      </c>
      <c r="N65" s="4" t="s">
        <v>240</v>
      </c>
      <c r="O65" s="2" t="s">
        <v>196</v>
      </c>
      <c r="P65" s="11" t="s">
        <v>241</v>
      </c>
      <c r="Q65" s="22"/>
      <c r="R65" s="22" t="s">
        <v>28</v>
      </c>
    </row>
    <row r="66" spans="1:18" ht="35.5" customHeight="1" x14ac:dyDescent="0.35">
      <c r="A66" s="2">
        <v>65</v>
      </c>
      <c r="B66" s="2" t="s">
        <v>18</v>
      </c>
      <c r="C66" s="32" t="s">
        <v>181</v>
      </c>
      <c r="D66" s="4" t="s">
        <v>59</v>
      </c>
      <c r="E66" s="4" t="s">
        <v>60</v>
      </c>
      <c r="F66" s="13" t="s">
        <v>165</v>
      </c>
      <c r="G66" s="11">
        <v>1</v>
      </c>
      <c r="H66" s="4"/>
      <c r="I66" s="4" t="s">
        <v>242</v>
      </c>
      <c r="J66" s="5">
        <v>18698736</v>
      </c>
      <c r="K66" s="4" t="s">
        <v>97</v>
      </c>
      <c r="L66" s="5">
        <v>29345689</v>
      </c>
      <c r="M66" s="4" t="s">
        <v>84</v>
      </c>
      <c r="N66" s="4" t="s">
        <v>243</v>
      </c>
      <c r="O66" s="2" t="s">
        <v>196</v>
      </c>
      <c r="P66" s="11" t="s">
        <v>238</v>
      </c>
      <c r="Q66" s="22"/>
      <c r="R66" s="22" t="s">
        <v>28</v>
      </c>
    </row>
    <row r="67" spans="1:18" ht="35.5" customHeight="1" x14ac:dyDescent="0.35">
      <c r="A67" s="2">
        <v>66</v>
      </c>
      <c r="B67" s="2" t="s">
        <v>123</v>
      </c>
      <c r="C67" s="37" t="s">
        <v>244</v>
      </c>
      <c r="D67" s="4" t="s">
        <v>59</v>
      </c>
      <c r="E67" s="4" t="s">
        <v>60</v>
      </c>
      <c r="F67" s="12">
        <v>45545</v>
      </c>
      <c r="G67" s="11">
        <v>6</v>
      </c>
      <c r="H67" s="4"/>
      <c r="I67" s="4" t="s">
        <v>245</v>
      </c>
      <c r="J67" s="5">
        <v>61578903</v>
      </c>
      <c r="K67" s="4" t="s">
        <v>246</v>
      </c>
      <c r="L67" s="5">
        <v>62525159</v>
      </c>
      <c r="M67" s="11" t="s">
        <v>333</v>
      </c>
      <c r="N67" s="4" t="s">
        <v>24</v>
      </c>
      <c r="O67" s="2" t="s">
        <v>196</v>
      </c>
      <c r="P67" s="11" t="s">
        <v>238</v>
      </c>
      <c r="Q67" s="22"/>
      <c r="R67" s="22" t="s">
        <v>28</v>
      </c>
    </row>
    <row r="68" spans="1:18" ht="35.5" customHeight="1" x14ac:dyDescent="0.35">
      <c r="A68" s="2">
        <v>67</v>
      </c>
      <c r="B68" s="2" t="s">
        <v>18</v>
      </c>
      <c r="C68" s="36">
        <v>45506</v>
      </c>
      <c r="D68" s="4" t="s">
        <v>19</v>
      </c>
      <c r="E68" s="4" t="s">
        <v>87</v>
      </c>
      <c r="F68" s="4" t="s">
        <v>95</v>
      </c>
      <c r="G68" s="4">
        <v>19</v>
      </c>
      <c r="H68" s="4"/>
      <c r="I68" s="4" t="s">
        <v>96</v>
      </c>
      <c r="J68" s="5">
        <v>43072510</v>
      </c>
      <c r="K68" s="4" t="s">
        <v>97</v>
      </c>
      <c r="L68" s="5">
        <f>J68</f>
        <v>43072510</v>
      </c>
      <c r="M68" s="11" t="s">
        <v>102</v>
      </c>
      <c r="N68" s="11" t="s">
        <v>247</v>
      </c>
      <c r="O68" s="2" t="s">
        <v>196</v>
      </c>
      <c r="P68" s="39" t="s">
        <v>248</v>
      </c>
      <c r="Q68" s="27"/>
      <c r="R68" s="27" t="s">
        <v>41</v>
      </c>
    </row>
    <row r="69" spans="1:18" ht="35.5" customHeight="1" x14ac:dyDescent="0.35">
      <c r="A69" s="2">
        <v>68</v>
      </c>
      <c r="B69" s="2" t="s">
        <v>18</v>
      </c>
      <c r="C69" s="33">
        <v>45506</v>
      </c>
      <c r="D69" s="4" t="s">
        <v>19</v>
      </c>
      <c r="E69" s="4" t="s">
        <v>87</v>
      </c>
      <c r="F69" s="4" t="s">
        <v>95</v>
      </c>
      <c r="G69" s="4">
        <v>8</v>
      </c>
      <c r="H69" s="4"/>
      <c r="I69" s="4" t="s">
        <v>249</v>
      </c>
      <c r="J69" s="5">
        <v>17761414</v>
      </c>
      <c r="K69" s="4" t="s">
        <v>97</v>
      </c>
      <c r="L69" s="5">
        <v>17761414</v>
      </c>
      <c r="M69" s="11" t="s">
        <v>102</v>
      </c>
      <c r="N69" s="4" t="s">
        <v>250</v>
      </c>
      <c r="O69" s="2" t="s">
        <v>196</v>
      </c>
      <c r="P69" s="39" t="s">
        <v>251</v>
      </c>
      <c r="Q69" s="27"/>
      <c r="R69" s="27" t="s">
        <v>41</v>
      </c>
    </row>
    <row r="70" spans="1:18" ht="35.5" customHeight="1" x14ac:dyDescent="0.35">
      <c r="A70" s="2">
        <v>69</v>
      </c>
      <c r="B70" s="2" t="s">
        <v>123</v>
      </c>
      <c r="C70" s="19" t="s">
        <v>204</v>
      </c>
      <c r="D70" s="4" t="s">
        <v>19</v>
      </c>
      <c r="E70" s="4" t="s">
        <v>203</v>
      </c>
      <c r="F70" s="4" t="s">
        <v>252</v>
      </c>
      <c r="G70" s="4">
        <v>1</v>
      </c>
      <c r="H70" s="4"/>
      <c r="I70" s="4" t="s">
        <v>205</v>
      </c>
      <c r="J70" s="5">
        <v>48875000</v>
      </c>
      <c r="K70" s="4" t="s">
        <v>23</v>
      </c>
      <c r="L70" s="5">
        <v>48875000</v>
      </c>
      <c r="M70" s="11" t="s">
        <v>120</v>
      </c>
      <c r="N70" s="4" t="s">
        <v>206</v>
      </c>
      <c r="O70" s="2" t="s">
        <v>196</v>
      </c>
      <c r="P70" s="11" t="s">
        <v>253</v>
      </c>
      <c r="Q70" s="39" t="s">
        <v>27</v>
      </c>
      <c r="R70" s="39" t="s">
        <v>28</v>
      </c>
    </row>
    <row r="71" spans="1:18" ht="35.5" customHeight="1" x14ac:dyDescent="0.35">
      <c r="A71" s="2">
        <v>70</v>
      </c>
      <c r="B71" s="2" t="s">
        <v>18</v>
      </c>
      <c r="C71" s="37" t="s">
        <v>181</v>
      </c>
      <c r="D71" s="4" t="s">
        <v>59</v>
      </c>
      <c r="E71" s="4" t="s">
        <v>60</v>
      </c>
      <c r="F71" s="4" t="s">
        <v>254</v>
      </c>
      <c r="G71" s="4">
        <v>2</v>
      </c>
      <c r="H71" s="4"/>
      <c r="I71" s="4" t="s">
        <v>255</v>
      </c>
      <c r="J71" s="5">
        <v>2625540</v>
      </c>
      <c r="K71" s="4" t="s">
        <v>97</v>
      </c>
      <c r="L71" s="5">
        <v>2636714</v>
      </c>
      <c r="M71" s="4" t="s">
        <v>84</v>
      </c>
      <c r="N71" s="4" t="s">
        <v>256</v>
      </c>
      <c r="O71" s="2" t="s">
        <v>196</v>
      </c>
      <c r="P71" s="21">
        <v>45717</v>
      </c>
      <c r="Q71" s="22"/>
      <c r="R71" s="22" t="s">
        <v>28</v>
      </c>
    </row>
    <row r="72" spans="1:18" ht="35.5" customHeight="1" x14ac:dyDescent="0.35">
      <c r="A72" s="2">
        <v>71</v>
      </c>
      <c r="B72" s="2" t="s">
        <v>18</v>
      </c>
      <c r="C72" s="32" t="s">
        <v>181</v>
      </c>
      <c r="D72" s="4" t="s">
        <v>59</v>
      </c>
      <c r="E72" s="4" t="s">
        <v>60</v>
      </c>
      <c r="F72" s="13" t="s">
        <v>165</v>
      </c>
      <c r="G72" s="11">
        <v>2</v>
      </c>
      <c r="H72" s="4"/>
      <c r="I72" s="4" t="s">
        <v>257</v>
      </c>
      <c r="J72" s="5">
        <v>4341523</v>
      </c>
      <c r="K72" s="4" t="s">
        <v>97</v>
      </c>
      <c r="L72" s="5">
        <v>4350078</v>
      </c>
      <c r="M72" s="4" t="s">
        <v>84</v>
      </c>
      <c r="N72" s="4" t="s">
        <v>195</v>
      </c>
      <c r="O72" s="2" t="s">
        <v>196</v>
      </c>
      <c r="P72" s="21">
        <v>45717</v>
      </c>
      <c r="Q72" s="22"/>
      <c r="R72" s="22" t="s">
        <v>28</v>
      </c>
    </row>
    <row r="73" spans="1:18" ht="35.5" customHeight="1" x14ac:dyDescent="0.35">
      <c r="A73" s="2">
        <v>72</v>
      </c>
      <c r="B73" s="2" t="s">
        <v>18</v>
      </c>
      <c r="C73" s="33">
        <v>45506</v>
      </c>
      <c r="D73" s="4" t="s">
        <v>19</v>
      </c>
      <c r="E73" s="4" t="s">
        <v>87</v>
      </c>
      <c r="F73" s="4" t="s">
        <v>95</v>
      </c>
      <c r="G73" s="4">
        <v>2</v>
      </c>
      <c r="H73" s="4"/>
      <c r="I73" s="4" t="s">
        <v>258</v>
      </c>
      <c r="J73" s="5">
        <v>7245828</v>
      </c>
      <c r="K73" s="4" t="s">
        <v>97</v>
      </c>
      <c r="L73" s="5">
        <f>J73</f>
        <v>7245828</v>
      </c>
      <c r="M73" s="11" t="s">
        <v>368</v>
      </c>
      <c r="N73" s="4" t="s">
        <v>259</v>
      </c>
      <c r="O73" s="2" t="s">
        <v>157</v>
      </c>
      <c r="P73" s="21">
        <v>45870</v>
      </c>
      <c r="Q73" s="22"/>
      <c r="R73" s="22" t="s">
        <v>28</v>
      </c>
    </row>
    <row r="74" spans="1:18" ht="35.5" customHeight="1" x14ac:dyDescent="0.35">
      <c r="A74" s="2">
        <v>73</v>
      </c>
      <c r="B74" s="2" t="s">
        <v>18</v>
      </c>
      <c r="C74" s="35">
        <v>45210</v>
      </c>
      <c r="D74" s="4" t="s">
        <v>19</v>
      </c>
      <c r="E74" s="4" t="s">
        <v>87</v>
      </c>
      <c r="F74" s="4" t="s">
        <v>199</v>
      </c>
      <c r="G74" s="4">
        <v>5</v>
      </c>
      <c r="H74" s="4"/>
      <c r="I74" s="4" t="s">
        <v>200</v>
      </c>
      <c r="J74" s="5">
        <v>18233462</v>
      </c>
      <c r="K74" s="4" t="s">
        <v>23</v>
      </c>
      <c r="L74" s="5">
        <v>18233462</v>
      </c>
      <c r="M74" s="11" t="s">
        <v>120</v>
      </c>
      <c r="N74" s="4" t="s">
        <v>260</v>
      </c>
      <c r="O74" s="2" t="s">
        <v>157</v>
      </c>
      <c r="P74" s="21">
        <v>45901</v>
      </c>
      <c r="Q74" s="39" t="s">
        <v>28</v>
      </c>
      <c r="R74" s="39" t="s">
        <v>28</v>
      </c>
    </row>
    <row r="75" spans="1:18" ht="35.5" customHeight="1" x14ac:dyDescent="0.35">
      <c r="A75" s="2">
        <v>74</v>
      </c>
      <c r="B75" s="2" t="s">
        <v>18</v>
      </c>
      <c r="C75" s="37" t="s">
        <v>181</v>
      </c>
      <c r="D75" s="4" t="s">
        <v>59</v>
      </c>
      <c r="E75" s="4" t="s">
        <v>60</v>
      </c>
      <c r="F75" s="13" t="s">
        <v>165</v>
      </c>
      <c r="G75" s="11">
        <v>10</v>
      </c>
      <c r="H75" s="4"/>
      <c r="I75" s="4" t="s">
        <v>261</v>
      </c>
      <c r="J75" s="5">
        <v>18136727</v>
      </c>
      <c r="K75" s="4" t="s">
        <v>97</v>
      </c>
      <c r="L75" s="5">
        <v>14592522</v>
      </c>
      <c r="M75" s="4" t="s">
        <v>84</v>
      </c>
      <c r="N75" s="4" t="s">
        <v>262</v>
      </c>
      <c r="O75" s="2" t="s">
        <v>157</v>
      </c>
      <c r="P75" s="11" t="s">
        <v>263</v>
      </c>
      <c r="Q75" s="22"/>
      <c r="R75" s="22" t="s">
        <v>28</v>
      </c>
    </row>
    <row r="76" spans="1:18" ht="35.5" customHeight="1" x14ac:dyDescent="0.35">
      <c r="A76" s="2">
        <v>75</v>
      </c>
      <c r="B76" s="2" t="s">
        <v>123</v>
      </c>
      <c r="C76" s="40">
        <v>45658</v>
      </c>
      <c r="D76" s="4" t="s">
        <v>19</v>
      </c>
      <c r="E76" s="4" t="s">
        <v>159</v>
      </c>
      <c r="F76" s="13" t="s">
        <v>264</v>
      </c>
      <c r="G76" s="11">
        <v>1</v>
      </c>
      <c r="H76" s="4"/>
      <c r="I76" s="4" t="s">
        <v>265</v>
      </c>
      <c r="J76" s="5">
        <v>19262250</v>
      </c>
      <c r="K76" s="4" t="s">
        <v>189</v>
      </c>
      <c r="L76" s="5">
        <v>19262250</v>
      </c>
      <c r="M76" s="11" t="s">
        <v>162</v>
      </c>
      <c r="N76" s="11" t="s">
        <v>266</v>
      </c>
      <c r="O76" s="2" t="s">
        <v>157</v>
      </c>
      <c r="P76" s="11" t="s">
        <v>267</v>
      </c>
      <c r="Q76" s="22"/>
      <c r="R76" s="22" t="s">
        <v>28</v>
      </c>
    </row>
    <row r="77" spans="1:18" ht="35.5" customHeight="1" x14ac:dyDescent="0.35">
      <c r="A77" s="2">
        <v>76</v>
      </c>
      <c r="B77" s="2" t="s">
        <v>123</v>
      </c>
      <c r="C77" s="41">
        <v>45658</v>
      </c>
      <c r="D77" s="4" t="s">
        <v>19</v>
      </c>
      <c r="E77" s="4" t="s">
        <v>159</v>
      </c>
      <c r="F77" s="13" t="s">
        <v>264</v>
      </c>
      <c r="G77" s="11">
        <v>1</v>
      </c>
      <c r="H77" s="4"/>
      <c r="I77" s="4" t="s">
        <v>268</v>
      </c>
      <c r="J77" s="5">
        <v>12101639</v>
      </c>
      <c r="K77" s="4" t="s">
        <v>189</v>
      </c>
      <c r="L77" s="5">
        <v>12101639</v>
      </c>
      <c r="M77" s="11" t="s">
        <v>162</v>
      </c>
      <c r="N77" s="11" t="s">
        <v>269</v>
      </c>
      <c r="O77" s="2" t="s">
        <v>157</v>
      </c>
      <c r="P77" s="11" t="s">
        <v>267</v>
      </c>
      <c r="Q77" s="27"/>
      <c r="R77" s="27" t="s">
        <v>41</v>
      </c>
    </row>
    <row r="78" spans="1:18" ht="35.5" customHeight="1" x14ac:dyDescent="0.35">
      <c r="A78" s="2">
        <v>77</v>
      </c>
      <c r="B78" s="2" t="s">
        <v>123</v>
      </c>
      <c r="C78" s="40">
        <v>45779</v>
      </c>
      <c r="D78" s="4" t="s">
        <v>19</v>
      </c>
      <c r="E78" s="4" t="s">
        <v>159</v>
      </c>
      <c r="F78" s="13" t="s">
        <v>270</v>
      </c>
      <c r="G78" s="11">
        <v>1</v>
      </c>
      <c r="H78" s="4"/>
      <c r="I78" s="4" t="s">
        <v>271</v>
      </c>
      <c r="J78" s="5">
        <v>49899213</v>
      </c>
      <c r="K78" s="4" t="s">
        <v>189</v>
      </c>
      <c r="L78" s="5">
        <v>49899213</v>
      </c>
      <c r="M78" s="11" t="s">
        <v>162</v>
      </c>
      <c r="N78" s="11" t="s">
        <v>272</v>
      </c>
      <c r="O78" s="2" t="s">
        <v>157</v>
      </c>
      <c r="P78" s="21">
        <v>45719</v>
      </c>
      <c r="Q78" s="27"/>
      <c r="R78" s="27" t="s">
        <v>41</v>
      </c>
    </row>
    <row r="79" spans="1:18" ht="35.5" customHeight="1" x14ac:dyDescent="0.35">
      <c r="A79" s="2">
        <v>78</v>
      </c>
      <c r="B79" s="2" t="s">
        <v>123</v>
      </c>
      <c r="C79" s="41">
        <v>45779</v>
      </c>
      <c r="D79" s="4" t="s">
        <v>19</v>
      </c>
      <c r="E79" s="4" t="s">
        <v>159</v>
      </c>
      <c r="F79" s="13" t="s">
        <v>270</v>
      </c>
      <c r="G79" s="11">
        <v>1</v>
      </c>
      <c r="H79" s="4"/>
      <c r="I79" s="4" t="s">
        <v>273</v>
      </c>
      <c r="J79" s="5">
        <v>49974750</v>
      </c>
      <c r="K79" s="4" t="s">
        <v>189</v>
      </c>
      <c r="L79" s="5">
        <v>49974750</v>
      </c>
      <c r="M79" s="11" t="s">
        <v>162</v>
      </c>
      <c r="N79" s="11" t="s">
        <v>274</v>
      </c>
      <c r="O79" s="2" t="s">
        <v>157</v>
      </c>
      <c r="P79" s="21">
        <v>45719</v>
      </c>
      <c r="Q79" s="22"/>
      <c r="R79" s="22"/>
    </row>
    <row r="80" spans="1:18" ht="35.5" customHeight="1" x14ac:dyDescent="0.35">
      <c r="A80" s="2">
        <v>79</v>
      </c>
      <c r="B80" s="2" t="s">
        <v>123</v>
      </c>
      <c r="C80" s="19" t="s">
        <v>275</v>
      </c>
      <c r="D80" s="4" t="s">
        <v>19</v>
      </c>
      <c r="E80" s="4" t="s">
        <v>47</v>
      </c>
      <c r="F80" s="13" t="s">
        <v>275</v>
      </c>
      <c r="G80" s="11">
        <v>8</v>
      </c>
      <c r="H80" s="4"/>
      <c r="I80" s="4" t="s">
        <v>276</v>
      </c>
      <c r="J80" s="5" t="s">
        <v>277</v>
      </c>
      <c r="K80" s="4" t="s">
        <v>78</v>
      </c>
      <c r="L80" s="5" t="s">
        <v>278</v>
      </c>
      <c r="M80" s="11" t="s">
        <v>120</v>
      </c>
      <c r="N80" s="11" t="s">
        <v>279</v>
      </c>
      <c r="O80" s="2" t="s">
        <v>157</v>
      </c>
      <c r="P80" s="21">
        <v>45841</v>
      </c>
      <c r="Q80" s="39" t="s">
        <v>27</v>
      </c>
      <c r="R80" s="39" t="s">
        <v>28</v>
      </c>
    </row>
    <row r="81" spans="1:18" ht="35.5" customHeight="1" x14ac:dyDescent="0.35">
      <c r="A81" s="2">
        <v>80</v>
      </c>
      <c r="B81" s="2" t="s">
        <v>123</v>
      </c>
      <c r="C81" s="42" t="s">
        <v>275</v>
      </c>
      <c r="D81" s="4" t="s">
        <v>19</v>
      </c>
      <c r="E81" s="4" t="s">
        <v>47</v>
      </c>
      <c r="F81" s="13" t="s">
        <v>275</v>
      </c>
      <c r="G81" s="11">
        <v>7</v>
      </c>
      <c r="H81" s="4"/>
      <c r="I81" s="4" t="s">
        <v>280</v>
      </c>
      <c r="J81" s="5">
        <v>15599752</v>
      </c>
      <c r="K81" s="4" t="s">
        <v>78</v>
      </c>
      <c r="L81" s="5" t="s">
        <v>281</v>
      </c>
      <c r="M81" s="11" t="s">
        <v>120</v>
      </c>
      <c r="N81" s="11" t="s">
        <v>282</v>
      </c>
      <c r="O81" s="2" t="s">
        <v>157</v>
      </c>
      <c r="P81" s="11" t="s">
        <v>283</v>
      </c>
      <c r="Q81" s="39" t="s">
        <v>27</v>
      </c>
      <c r="R81" s="39" t="s">
        <v>28</v>
      </c>
    </row>
    <row r="82" spans="1:18" ht="35.5" customHeight="1" x14ac:dyDescent="0.35">
      <c r="A82" s="2">
        <v>81</v>
      </c>
      <c r="B82" s="2" t="s">
        <v>123</v>
      </c>
      <c r="C82" s="18" t="s">
        <v>284</v>
      </c>
      <c r="D82" s="4" t="s">
        <v>19</v>
      </c>
      <c r="E82" s="4" t="s">
        <v>56</v>
      </c>
      <c r="F82" s="4" t="s">
        <v>285</v>
      </c>
      <c r="G82" s="11">
        <v>1</v>
      </c>
      <c r="H82" s="4"/>
      <c r="I82" s="4" t="s">
        <v>286</v>
      </c>
      <c r="J82" s="5">
        <v>99199310</v>
      </c>
      <c r="K82" s="4" t="s">
        <v>287</v>
      </c>
      <c r="L82" s="5">
        <v>99199310</v>
      </c>
      <c r="M82" s="11" t="s">
        <v>174</v>
      </c>
      <c r="N82" s="11" t="s">
        <v>288</v>
      </c>
      <c r="O82" s="2" t="s">
        <v>157</v>
      </c>
      <c r="P82" s="11" t="s">
        <v>289</v>
      </c>
      <c r="Q82" s="43" t="s">
        <v>27</v>
      </c>
      <c r="R82" s="43" t="s">
        <v>28</v>
      </c>
    </row>
    <row r="83" spans="1:18" ht="35.5" customHeight="1" x14ac:dyDescent="0.35">
      <c r="A83" s="2">
        <v>82</v>
      </c>
      <c r="B83" s="2" t="s">
        <v>18</v>
      </c>
      <c r="C83" s="33">
        <v>45506</v>
      </c>
      <c r="D83" s="4" t="s">
        <v>19</v>
      </c>
      <c r="E83" s="4" t="s">
        <v>87</v>
      </c>
      <c r="F83" s="4" t="s">
        <v>95</v>
      </c>
      <c r="G83" s="4">
        <v>1</v>
      </c>
      <c r="H83" s="4"/>
      <c r="I83" s="4" t="s">
        <v>96</v>
      </c>
      <c r="J83" s="5">
        <v>8856400</v>
      </c>
      <c r="K83" s="4" t="s">
        <v>97</v>
      </c>
      <c r="L83" s="5">
        <f>J83</f>
        <v>8856400</v>
      </c>
      <c r="M83" s="11" t="s">
        <v>162</v>
      </c>
      <c r="N83" s="11" t="s">
        <v>290</v>
      </c>
      <c r="O83" s="2" t="s">
        <v>157</v>
      </c>
      <c r="P83" s="11" t="s">
        <v>291</v>
      </c>
      <c r="Q83" s="44"/>
      <c r="R83" s="44" t="s">
        <v>28</v>
      </c>
    </row>
    <row r="84" spans="1:18" ht="35.5" customHeight="1" x14ac:dyDescent="0.35">
      <c r="A84" s="2">
        <v>83</v>
      </c>
      <c r="B84" s="2" t="s">
        <v>18</v>
      </c>
      <c r="C84" s="36">
        <v>45506</v>
      </c>
      <c r="D84" s="4" t="s">
        <v>19</v>
      </c>
      <c r="E84" s="4" t="s">
        <v>87</v>
      </c>
      <c r="F84" s="4" t="s">
        <v>95</v>
      </c>
      <c r="G84" s="4">
        <v>3</v>
      </c>
      <c r="H84" s="4"/>
      <c r="I84" s="4" t="s">
        <v>249</v>
      </c>
      <c r="J84" s="5">
        <v>3646600</v>
      </c>
      <c r="K84" s="4" t="s">
        <v>97</v>
      </c>
      <c r="L84" s="5">
        <v>3646600</v>
      </c>
      <c r="M84" s="11" t="s">
        <v>368</v>
      </c>
      <c r="N84" s="4" t="s">
        <v>292</v>
      </c>
      <c r="O84" s="2" t="s">
        <v>157</v>
      </c>
      <c r="P84" s="11" t="s">
        <v>291</v>
      </c>
      <c r="Q84" s="44"/>
      <c r="R84" s="44" t="s">
        <v>28</v>
      </c>
    </row>
    <row r="85" spans="1:18" ht="35.5" customHeight="1" x14ac:dyDescent="0.35">
      <c r="A85" s="2">
        <v>84</v>
      </c>
      <c r="B85" s="2" t="s">
        <v>123</v>
      </c>
      <c r="C85" s="41">
        <v>45811</v>
      </c>
      <c r="D85" s="4" t="s">
        <v>19</v>
      </c>
      <c r="E85" s="4" t="s">
        <v>159</v>
      </c>
      <c r="F85" s="12">
        <v>45750</v>
      </c>
      <c r="G85" s="13">
        <v>1</v>
      </c>
      <c r="H85" s="13"/>
      <c r="I85" s="13" t="s">
        <v>293</v>
      </c>
      <c r="J85" s="5" t="s">
        <v>294</v>
      </c>
      <c r="K85" s="4" t="s">
        <v>189</v>
      </c>
      <c r="L85" s="24">
        <v>31575758</v>
      </c>
      <c r="M85" s="11" t="s">
        <v>295</v>
      </c>
      <c r="N85" s="11" t="s">
        <v>296</v>
      </c>
      <c r="O85" s="2" t="s">
        <v>157</v>
      </c>
      <c r="P85" s="26" t="s">
        <v>297</v>
      </c>
      <c r="Q85" s="44"/>
      <c r="R85" s="44" t="s">
        <v>28</v>
      </c>
    </row>
    <row r="86" spans="1:18" ht="35.5" customHeight="1" x14ac:dyDescent="0.35">
      <c r="A86" s="2">
        <v>85</v>
      </c>
      <c r="B86" s="2" t="s">
        <v>18</v>
      </c>
      <c r="C86" s="36" t="s">
        <v>298</v>
      </c>
      <c r="D86" s="11" t="s">
        <v>19</v>
      </c>
      <c r="E86" s="11" t="s">
        <v>299</v>
      </c>
      <c r="F86" s="21">
        <v>45385</v>
      </c>
      <c r="G86" s="11">
        <v>1</v>
      </c>
      <c r="H86" s="11"/>
      <c r="I86" s="11" t="s">
        <v>300</v>
      </c>
      <c r="J86" s="24">
        <v>15000000</v>
      </c>
      <c r="K86" s="11" t="s">
        <v>23</v>
      </c>
      <c r="L86" s="24">
        <v>15000000</v>
      </c>
      <c r="M86" s="4" t="s">
        <v>84</v>
      </c>
      <c r="N86" s="11" t="s">
        <v>301</v>
      </c>
      <c r="O86" s="2" t="s">
        <v>157</v>
      </c>
      <c r="P86" s="26" t="s">
        <v>297</v>
      </c>
      <c r="Q86" s="44"/>
      <c r="R86" s="44" t="s">
        <v>28</v>
      </c>
    </row>
    <row r="87" spans="1:18" ht="35.5" customHeight="1" x14ac:dyDescent="0.35">
      <c r="A87" s="2">
        <v>86</v>
      </c>
      <c r="B87" s="2" t="s">
        <v>302</v>
      </c>
      <c r="C87" s="45">
        <v>45720</v>
      </c>
      <c r="D87" s="4" t="s">
        <v>19</v>
      </c>
      <c r="E87" s="4" t="s">
        <v>159</v>
      </c>
      <c r="F87" s="13" t="s">
        <v>303</v>
      </c>
      <c r="G87" s="13">
        <v>1</v>
      </c>
      <c r="H87" s="13"/>
      <c r="I87" s="13" t="s">
        <v>304</v>
      </c>
      <c r="J87" s="5">
        <v>1822275</v>
      </c>
      <c r="K87" s="4" t="s">
        <v>189</v>
      </c>
      <c r="L87" s="24">
        <v>1822275</v>
      </c>
      <c r="M87" s="11" t="s">
        <v>162</v>
      </c>
      <c r="N87" s="11" t="s">
        <v>305</v>
      </c>
      <c r="O87" s="2" t="s">
        <v>157</v>
      </c>
      <c r="P87" s="26" t="s">
        <v>306</v>
      </c>
      <c r="Q87" s="44"/>
      <c r="R87" s="44" t="s">
        <v>28</v>
      </c>
    </row>
    <row r="88" spans="1:18" ht="35.5" customHeight="1" x14ac:dyDescent="0.35">
      <c r="A88" s="2">
        <v>87</v>
      </c>
      <c r="B88" s="2" t="s">
        <v>123</v>
      </c>
      <c r="C88" s="18" t="s">
        <v>284</v>
      </c>
      <c r="D88" s="4" t="s">
        <v>19</v>
      </c>
      <c r="E88" s="4" t="s">
        <v>56</v>
      </c>
      <c r="F88" s="4" t="s">
        <v>285</v>
      </c>
      <c r="G88" s="26">
        <v>1</v>
      </c>
      <c r="H88" s="4"/>
      <c r="I88" s="4" t="s">
        <v>307</v>
      </c>
      <c r="J88" s="5">
        <v>59495700</v>
      </c>
      <c r="K88" s="4" t="s">
        <v>287</v>
      </c>
      <c r="L88" s="5">
        <v>59495700</v>
      </c>
      <c r="M88" s="11" t="s">
        <v>174</v>
      </c>
      <c r="N88" s="26" t="s">
        <v>308</v>
      </c>
      <c r="O88" s="2" t="s">
        <v>157</v>
      </c>
      <c r="P88" s="26" t="s">
        <v>309</v>
      </c>
      <c r="Q88" s="43" t="s">
        <v>27</v>
      </c>
      <c r="R88" s="43" t="s">
        <v>28</v>
      </c>
    </row>
    <row r="89" spans="1:18" ht="35.5" customHeight="1" x14ac:dyDescent="0.35">
      <c r="A89" s="2">
        <v>88</v>
      </c>
      <c r="B89" s="2" t="s">
        <v>123</v>
      </c>
      <c r="C89" s="46" t="s">
        <v>284</v>
      </c>
      <c r="D89" s="4" t="s">
        <v>19</v>
      </c>
      <c r="E89" s="4" t="s">
        <v>56</v>
      </c>
      <c r="F89" s="4" t="s">
        <v>285</v>
      </c>
      <c r="G89" s="26">
        <v>1</v>
      </c>
      <c r="H89" s="4"/>
      <c r="I89" s="4" t="s">
        <v>307</v>
      </c>
      <c r="J89" s="5">
        <v>51909000</v>
      </c>
      <c r="K89" s="4" t="s">
        <v>287</v>
      </c>
      <c r="L89" s="5">
        <v>51909000</v>
      </c>
      <c r="M89" s="11" t="s">
        <v>174</v>
      </c>
      <c r="N89" s="26" t="s">
        <v>308</v>
      </c>
      <c r="O89" s="2" t="s">
        <v>157</v>
      </c>
      <c r="P89" s="26" t="s">
        <v>309</v>
      </c>
      <c r="Q89" s="43" t="s">
        <v>27</v>
      </c>
      <c r="R89" s="43" t="s">
        <v>28</v>
      </c>
    </row>
    <row r="90" spans="1:18" ht="35.5" customHeight="1" x14ac:dyDescent="0.35">
      <c r="A90" s="2">
        <v>89</v>
      </c>
      <c r="B90" s="2" t="s">
        <v>123</v>
      </c>
      <c r="C90" s="18" t="s">
        <v>284</v>
      </c>
      <c r="D90" s="4" t="s">
        <v>19</v>
      </c>
      <c r="E90" s="4" t="s">
        <v>56</v>
      </c>
      <c r="F90" s="4" t="s">
        <v>285</v>
      </c>
      <c r="G90" s="26">
        <v>1</v>
      </c>
      <c r="H90" s="4"/>
      <c r="I90" s="4" t="s">
        <v>307</v>
      </c>
      <c r="J90" s="5" t="s">
        <v>310</v>
      </c>
      <c r="K90" s="4" t="s">
        <v>287</v>
      </c>
      <c r="L90" s="5" t="s">
        <v>310</v>
      </c>
      <c r="M90" s="11" t="s">
        <v>174</v>
      </c>
      <c r="N90" s="26" t="s">
        <v>308</v>
      </c>
      <c r="O90" s="2" t="s">
        <v>157</v>
      </c>
      <c r="P90" s="26" t="s">
        <v>311</v>
      </c>
      <c r="Q90" s="43" t="s">
        <v>27</v>
      </c>
      <c r="R90" s="43" t="s">
        <v>41</v>
      </c>
    </row>
    <row r="91" spans="1:18" ht="35.5" customHeight="1" x14ac:dyDescent="0.35">
      <c r="A91" s="2">
        <v>90</v>
      </c>
      <c r="B91" s="2" t="s">
        <v>18</v>
      </c>
      <c r="C91" s="47">
        <v>45210</v>
      </c>
      <c r="D91" s="48" t="s">
        <v>19</v>
      </c>
      <c r="E91" s="48" t="s">
        <v>87</v>
      </c>
      <c r="F91" s="48" t="s">
        <v>199</v>
      </c>
      <c r="G91" s="20">
        <v>1</v>
      </c>
      <c r="H91" s="48"/>
      <c r="I91" s="48" t="s">
        <v>200</v>
      </c>
      <c r="J91" s="49">
        <v>317934</v>
      </c>
      <c r="K91" s="49" t="s">
        <v>23</v>
      </c>
      <c r="L91" s="49">
        <v>317934</v>
      </c>
      <c r="M91" s="50" t="s">
        <v>120</v>
      </c>
      <c r="N91" s="20" t="s">
        <v>260</v>
      </c>
      <c r="O91" s="51" t="s">
        <v>157</v>
      </c>
      <c r="P91" s="29" t="s">
        <v>312</v>
      </c>
      <c r="Q91" s="39" t="s">
        <v>28</v>
      </c>
      <c r="R91" s="39" t="s">
        <v>28</v>
      </c>
    </row>
    <row r="92" spans="1:18" ht="35.5" customHeight="1" x14ac:dyDescent="0.35">
      <c r="A92" s="2">
        <v>91</v>
      </c>
      <c r="B92" s="2" t="s">
        <v>123</v>
      </c>
      <c r="C92" s="40">
        <v>45994</v>
      </c>
      <c r="D92" s="4" t="s">
        <v>19</v>
      </c>
      <c r="E92" s="4" t="s">
        <v>313</v>
      </c>
      <c r="F92" s="13" t="s">
        <v>314</v>
      </c>
      <c r="G92" s="4">
        <v>1</v>
      </c>
      <c r="H92" s="4"/>
      <c r="I92" s="4" t="s">
        <v>315</v>
      </c>
      <c r="J92" s="11" t="s">
        <v>316</v>
      </c>
      <c r="K92" s="4" t="s">
        <v>97</v>
      </c>
      <c r="L92" s="11" t="s">
        <v>316</v>
      </c>
      <c r="M92" s="11" t="s">
        <v>120</v>
      </c>
      <c r="N92" s="11" t="s">
        <v>317</v>
      </c>
      <c r="O92" s="2" t="s">
        <v>157</v>
      </c>
      <c r="P92" s="4" t="s">
        <v>318</v>
      </c>
      <c r="Q92" s="44" t="s">
        <v>27</v>
      </c>
      <c r="R92" s="44" t="s">
        <v>28</v>
      </c>
    </row>
    <row r="93" spans="1:18" ht="35.5" customHeight="1" x14ac:dyDescent="0.35">
      <c r="A93" s="2">
        <v>92</v>
      </c>
      <c r="B93" s="2" t="s">
        <v>123</v>
      </c>
      <c r="C93" s="11" t="s">
        <v>275</v>
      </c>
      <c r="D93" s="11" t="s">
        <v>19</v>
      </c>
      <c r="E93" s="11" t="s">
        <v>47</v>
      </c>
      <c r="F93" s="11" t="s">
        <v>275</v>
      </c>
      <c r="G93" s="11">
        <v>7</v>
      </c>
      <c r="H93" s="11"/>
      <c r="I93" s="11" t="s">
        <v>319</v>
      </c>
      <c r="J93" s="24">
        <v>16570900</v>
      </c>
      <c r="K93" s="11" t="s">
        <v>320</v>
      </c>
      <c r="L93" s="11">
        <v>16701610</v>
      </c>
      <c r="M93" s="11" t="s">
        <v>321</v>
      </c>
      <c r="N93" s="11" t="s">
        <v>322</v>
      </c>
      <c r="O93" s="2" t="s">
        <v>154</v>
      </c>
      <c r="P93" s="44" t="s">
        <v>323</v>
      </c>
      <c r="Q93" s="44" t="s">
        <v>27</v>
      </c>
      <c r="R93" s="44" t="s">
        <v>28</v>
      </c>
    </row>
    <row r="94" spans="1:18" ht="35.5" customHeight="1" x14ac:dyDescent="0.35">
      <c r="A94" s="2">
        <v>93</v>
      </c>
      <c r="B94" s="2" t="s">
        <v>18</v>
      </c>
      <c r="C94" s="52">
        <v>45210</v>
      </c>
      <c r="D94" s="48" t="s">
        <v>19</v>
      </c>
      <c r="E94" s="48" t="s">
        <v>87</v>
      </c>
      <c r="F94" s="48" t="s">
        <v>199</v>
      </c>
      <c r="G94" s="20">
        <v>1</v>
      </c>
      <c r="H94" s="48"/>
      <c r="I94" s="48" t="s">
        <v>200</v>
      </c>
      <c r="J94" s="49">
        <v>6694104</v>
      </c>
      <c r="K94" s="49" t="s">
        <v>23</v>
      </c>
      <c r="L94" s="49">
        <v>6694104</v>
      </c>
      <c r="M94" s="50" t="s">
        <v>120</v>
      </c>
      <c r="N94" s="20" t="s">
        <v>260</v>
      </c>
      <c r="O94" s="51" t="s">
        <v>157</v>
      </c>
      <c r="P94" s="29" t="s">
        <v>324</v>
      </c>
      <c r="Q94" s="43" t="s">
        <v>61</v>
      </c>
      <c r="R94" s="43" t="s">
        <v>41</v>
      </c>
    </row>
    <row r="95" spans="1:18" ht="35.5" customHeight="1" x14ac:dyDescent="0.35">
      <c r="A95" s="2">
        <v>94</v>
      </c>
      <c r="B95" s="2" t="s">
        <v>123</v>
      </c>
      <c r="C95" s="42" t="s">
        <v>244</v>
      </c>
      <c r="D95" s="19" t="s">
        <v>325</v>
      </c>
      <c r="E95" s="19" t="s">
        <v>325</v>
      </c>
      <c r="F95" s="3">
        <v>45545</v>
      </c>
      <c r="G95" s="4">
        <v>15</v>
      </c>
      <c r="H95" s="4"/>
      <c r="I95" s="4" t="s">
        <v>326</v>
      </c>
      <c r="J95" s="5">
        <v>38629273</v>
      </c>
      <c r="K95" s="4" t="s">
        <v>246</v>
      </c>
      <c r="L95" s="5">
        <v>38629273</v>
      </c>
      <c r="M95" s="4" t="s">
        <v>84</v>
      </c>
      <c r="N95" s="11" t="s">
        <v>327</v>
      </c>
      <c r="O95" s="2" t="s">
        <v>154</v>
      </c>
      <c r="P95" s="32" t="s">
        <v>328</v>
      </c>
      <c r="Q95" s="53" t="s">
        <v>27</v>
      </c>
      <c r="R95" s="53" t="s">
        <v>41</v>
      </c>
    </row>
    <row r="96" spans="1:18" ht="35.5" customHeight="1" x14ac:dyDescent="0.35">
      <c r="A96" s="2">
        <v>95</v>
      </c>
      <c r="B96" s="2" t="s">
        <v>123</v>
      </c>
      <c r="C96" s="19" t="s">
        <v>244</v>
      </c>
      <c r="D96" s="19" t="s">
        <v>325</v>
      </c>
      <c r="E96" s="19" t="s">
        <v>325</v>
      </c>
      <c r="F96" s="4" t="s">
        <v>329</v>
      </c>
      <c r="G96" s="4">
        <v>26</v>
      </c>
      <c r="H96" s="19"/>
      <c r="I96" s="19" t="s">
        <v>330</v>
      </c>
      <c r="J96" s="5">
        <v>63873694</v>
      </c>
      <c r="K96" s="4" t="s">
        <v>246</v>
      </c>
      <c r="L96" s="5">
        <v>63873694</v>
      </c>
      <c r="M96" s="19" t="s">
        <v>152</v>
      </c>
      <c r="N96" s="11" t="s">
        <v>331</v>
      </c>
      <c r="O96" s="2" t="s">
        <v>154</v>
      </c>
      <c r="P96" s="32" t="s">
        <v>328</v>
      </c>
      <c r="Q96" s="53" t="s">
        <v>27</v>
      </c>
      <c r="R96" s="53" t="s">
        <v>41</v>
      </c>
    </row>
    <row r="97" spans="1:18" ht="35.5" customHeight="1" x14ac:dyDescent="0.35">
      <c r="A97" s="2">
        <v>96</v>
      </c>
      <c r="B97" s="2" t="s">
        <v>123</v>
      </c>
      <c r="C97" s="42" t="s">
        <v>244</v>
      </c>
      <c r="D97" s="19" t="s">
        <v>325</v>
      </c>
      <c r="E97" s="19" t="s">
        <v>325</v>
      </c>
      <c r="F97" s="4" t="s">
        <v>329</v>
      </c>
      <c r="G97" s="4">
        <v>4</v>
      </c>
      <c r="H97" s="4"/>
      <c r="I97" s="4" t="s">
        <v>332</v>
      </c>
      <c r="J97" s="5">
        <v>6317345</v>
      </c>
      <c r="K97" s="4" t="s">
        <v>97</v>
      </c>
      <c r="L97" s="5">
        <v>6317345</v>
      </c>
      <c r="M97" s="11" t="s">
        <v>333</v>
      </c>
      <c r="N97" s="11" t="s">
        <v>334</v>
      </c>
      <c r="O97" s="2" t="s">
        <v>154</v>
      </c>
      <c r="P97" s="32" t="s">
        <v>335</v>
      </c>
      <c r="Q97" s="53" t="s">
        <v>27</v>
      </c>
      <c r="R97" s="53" t="s">
        <v>41</v>
      </c>
    </row>
    <row r="98" spans="1:18" ht="35.5" customHeight="1" x14ac:dyDescent="0.35">
      <c r="A98" s="2">
        <v>97</v>
      </c>
      <c r="B98" s="2" t="s">
        <v>123</v>
      </c>
      <c r="C98" s="19" t="s">
        <v>244</v>
      </c>
      <c r="D98" s="19" t="s">
        <v>325</v>
      </c>
      <c r="E98" s="19" t="s">
        <v>325</v>
      </c>
      <c r="F98" s="4" t="s">
        <v>329</v>
      </c>
      <c r="G98" s="4">
        <v>2</v>
      </c>
      <c r="H98" s="4"/>
      <c r="I98" s="4" t="s">
        <v>332</v>
      </c>
      <c r="J98" s="5">
        <v>2291125</v>
      </c>
      <c r="K98" s="4" t="s">
        <v>97</v>
      </c>
      <c r="L98" s="5">
        <v>2291125</v>
      </c>
      <c r="M98" s="11" t="s">
        <v>333</v>
      </c>
      <c r="N98" s="11" t="s">
        <v>336</v>
      </c>
      <c r="O98" s="2" t="s">
        <v>154</v>
      </c>
      <c r="P98" s="32" t="s">
        <v>324</v>
      </c>
      <c r="Q98" s="53" t="s">
        <v>27</v>
      </c>
      <c r="R98" s="53" t="s">
        <v>41</v>
      </c>
    </row>
    <row r="99" spans="1:18" ht="35.5" customHeight="1" x14ac:dyDescent="0.35">
      <c r="A99" s="2">
        <v>98</v>
      </c>
      <c r="B99" s="2" t="s">
        <v>123</v>
      </c>
      <c r="C99" s="42" t="s">
        <v>244</v>
      </c>
      <c r="D99" s="19" t="s">
        <v>325</v>
      </c>
      <c r="E99" s="19" t="s">
        <v>325</v>
      </c>
      <c r="F99" s="4" t="s">
        <v>329</v>
      </c>
      <c r="G99" s="13">
        <v>24</v>
      </c>
      <c r="H99" s="19"/>
      <c r="I99" s="19" t="s">
        <v>337</v>
      </c>
      <c r="J99" s="5">
        <v>185611891</v>
      </c>
      <c r="K99" s="4" t="s">
        <v>246</v>
      </c>
      <c r="L99" s="5">
        <v>185611891</v>
      </c>
      <c r="M99" s="4" t="s">
        <v>84</v>
      </c>
      <c r="N99" s="11" t="s">
        <v>338</v>
      </c>
      <c r="O99" s="2" t="s">
        <v>154</v>
      </c>
      <c r="P99" s="32" t="s">
        <v>328</v>
      </c>
      <c r="Q99" s="53" t="s">
        <v>27</v>
      </c>
      <c r="R99" s="53" t="s">
        <v>41</v>
      </c>
    </row>
    <row r="100" spans="1:18" ht="35.5" customHeight="1" x14ac:dyDescent="0.35">
      <c r="A100" s="2">
        <v>99</v>
      </c>
      <c r="B100" s="2" t="s">
        <v>123</v>
      </c>
      <c r="C100" s="19" t="s">
        <v>244</v>
      </c>
      <c r="D100" s="19" t="s">
        <v>325</v>
      </c>
      <c r="E100" s="19" t="s">
        <v>325</v>
      </c>
      <c r="F100" s="4" t="s">
        <v>329</v>
      </c>
      <c r="G100" s="4">
        <v>12</v>
      </c>
      <c r="H100" s="19"/>
      <c r="I100" s="19" t="s">
        <v>339</v>
      </c>
      <c r="J100" s="5">
        <v>72873359</v>
      </c>
      <c r="K100" s="4" t="s">
        <v>246</v>
      </c>
      <c r="L100" s="5">
        <v>72873359</v>
      </c>
      <c r="M100" s="4" t="s">
        <v>84</v>
      </c>
      <c r="N100" s="11" t="s">
        <v>340</v>
      </c>
      <c r="O100" s="2" t="s">
        <v>154</v>
      </c>
      <c r="P100" s="32" t="s">
        <v>328</v>
      </c>
      <c r="Q100" s="53" t="s">
        <v>27</v>
      </c>
      <c r="R100" s="53" t="s">
        <v>41</v>
      </c>
    </row>
    <row r="101" spans="1:18" ht="35.5" customHeight="1" x14ac:dyDescent="0.35">
      <c r="A101" s="2">
        <v>100</v>
      </c>
      <c r="B101" s="2" t="s">
        <v>123</v>
      </c>
      <c r="C101" s="42" t="s">
        <v>244</v>
      </c>
      <c r="D101" s="19" t="s">
        <v>325</v>
      </c>
      <c r="E101" s="19" t="s">
        <v>325</v>
      </c>
      <c r="F101" s="4" t="s">
        <v>329</v>
      </c>
      <c r="G101" s="13">
        <v>17</v>
      </c>
      <c r="H101" s="19"/>
      <c r="I101" s="19" t="s">
        <v>341</v>
      </c>
      <c r="J101" s="5">
        <v>22619903</v>
      </c>
      <c r="K101" s="4" t="s">
        <v>246</v>
      </c>
      <c r="L101" s="5">
        <f>J101</f>
        <v>22619903</v>
      </c>
      <c r="M101" s="11" t="s">
        <v>333</v>
      </c>
      <c r="N101" s="11" t="s">
        <v>342</v>
      </c>
      <c r="O101" s="2" t="s">
        <v>154</v>
      </c>
      <c r="P101" s="32" t="s">
        <v>343</v>
      </c>
      <c r="Q101" s="53" t="s">
        <v>27</v>
      </c>
      <c r="R101" s="53" t="s">
        <v>41</v>
      </c>
    </row>
    <row r="102" spans="1:18" ht="35.5" customHeight="1" x14ac:dyDescent="0.35">
      <c r="A102" s="2">
        <v>101</v>
      </c>
      <c r="B102" s="2" t="s">
        <v>123</v>
      </c>
      <c r="C102" s="19" t="s">
        <v>244</v>
      </c>
      <c r="D102" s="19" t="s">
        <v>325</v>
      </c>
      <c r="E102" s="19" t="s">
        <v>325</v>
      </c>
      <c r="F102" s="4" t="s">
        <v>329</v>
      </c>
      <c r="G102" s="4">
        <v>8</v>
      </c>
      <c r="H102" s="4"/>
      <c r="I102" s="4" t="s">
        <v>344</v>
      </c>
      <c r="J102" s="5">
        <v>10656363</v>
      </c>
      <c r="K102" s="4" t="s">
        <v>246</v>
      </c>
      <c r="L102" s="5">
        <v>10656363</v>
      </c>
      <c r="M102" s="4" t="s">
        <v>84</v>
      </c>
      <c r="N102" s="11" t="s">
        <v>345</v>
      </c>
      <c r="O102" s="2" t="s">
        <v>154</v>
      </c>
      <c r="P102" s="32" t="s">
        <v>346</v>
      </c>
      <c r="Q102" s="53" t="s">
        <v>27</v>
      </c>
      <c r="R102" s="53" t="s">
        <v>41</v>
      </c>
    </row>
    <row r="103" spans="1:18" ht="35.5" customHeight="1" x14ac:dyDescent="0.35">
      <c r="A103" s="2">
        <v>102</v>
      </c>
      <c r="B103" s="2" t="s">
        <v>123</v>
      </c>
      <c r="C103" s="46" t="s">
        <v>284</v>
      </c>
      <c r="D103" s="4" t="s">
        <v>19</v>
      </c>
      <c r="E103" s="4" t="s">
        <v>56</v>
      </c>
      <c r="F103" s="4" t="s">
        <v>285</v>
      </c>
      <c r="G103" s="4">
        <v>1</v>
      </c>
      <c r="H103" s="4"/>
      <c r="I103" s="4" t="s">
        <v>307</v>
      </c>
      <c r="J103" s="5">
        <v>5440000</v>
      </c>
      <c r="K103" s="4" t="s">
        <v>287</v>
      </c>
      <c r="L103" s="5">
        <v>5440000</v>
      </c>
      <c r="M103" s="54" t="s">
        <v>174</v>
      </c>
      <c r="N103" s="11" t="s">
        <v>308</v>
      </c>
      <c r="O103" s="2" t="s">
        <v>157</v>
      </c>
      <c r="P103" s="40">
        <v>45754</v>
      </c>
      <c r="Q103" s="43" t="s">
        <v>27</v>
      </c>
      <c r="R103" s="43" t="s">
        <v>28</v>
      </c>
    </row>
    <row r="104" spans="1:18" ht="35.5" customHeight="1" x14ac:dyDescent="0.35">
      <c r="A104" s="2">
        <v>103</v>
      </c>
      <c r="B104" s="2" t="s">
        <v>123</v>
      </c>
      <c r="C104" s="18" t="s">
        <v>284</v>
      </c>
      <c r="D104" s="4" t="s">
        <v>19</v>
      </c>
      <c r="E104" s="4" t="s">
        <v>56</v>
      </c>
      <c r="F104" s="4" t="s">
        <v>285</v>
      </c>
      <c r="G104" s="4">
        <v>1</v>
      </c>
      <c r="H104" s="4"/>
      <c r="I104" s="4" t="s">
        <v>286</v>
      </c>
      <c r="J104" s="5">
        <v>39312000</v>
      </c>
      <c r="K104" s="4" t="s">
        <v>287</v>
      </c>
      <c r="L104" s="5">
        <v>39312000</v>
      </c>
      <c r="M104" s="54" t="s">
        <v>174</v>
      </c>
      <c r="N104" s="11" t="s">
        <v>288</v>
      </c>
      <c r="O104" s="2" t="s">
        <v>157</v>
      </c>
      <c r="P104" s="40">
        <v>45754</v>
      </c>
      <c r="Q104" s="43" t="s">
        <v>27</v>
      </c>
      <c r="R104" s="43" t="s">
        <v>28</v>
      </c>
    </row>
    <row r="105" spans="1:18" ht="35.5" customHeight="1" x14ac:dyDescent="0.35">
      <c r="A105" s="2">
        <v>104</v>
      </c>
      <c r="B105" s="2" t="s">
        <v>123</v>
      </c>
      <c r="C105" s="46" t="s">
        <v>284</v>
      </c>
      <c r="D105" s="4" t="s">
        <v>19</v>
      </c>
      <c r="E105" s="4" t="s">
        <v>56</v>
      </c>
      <c r="F105" s="4" t="s">
        <v>285</v>
      </c>
      <c r="G105" s="4">
        <v>1</v>
      </c>
      <c r="H105" s="4"/>
      <c r="I105" s="4" t="s">
        <v>286</v>
      </c>
      <c r="J105" s="5">
        <v>18950257</v>
      </c>
      <c r="K105" s="4" t="s">
        <v>287</v>
      </c>
      <c r="L105" s="5">
        <v>18950257</v>
      </c>
      <c r="M105" s="54" t="s">
        <v>174</v>
      </c>
      <c r="N105" s="11" t="s">
        <v>288</v>
      </c>
      <c r="O105" s="2" t="s">
        <v>157</v>
      </c>
      <c r="P105" s="40">
        <v>45754</v>
      </c>
      <c r="Q105" s="43" t="s">
        <v>27</v>
      </c>
      <c r="R105" s="43" t="s">
        <v>28</v>
      </c>
    </row>
    <row r="106" spans="1:18" ht="35.5" customHeight="1" x14ac:dyDescent="0.35">
      <c r="A106" s="2">
        <v>105</v>
      </c>
      <c r="B106" s="2" t="s">
        <v>123</v>
      </c>
      <c r="C106" s="19" t="s">
        <v>244</v>
      </c>
      <c r="D106" s="19" t="s">
        <v>325</v>
      </c>
      <c r="E106" s="19" t="s">
        <v>325</v>
      </c>
      <c r="F106" s="4" t="s">
        <v>347</v>
      </c>
      <c r="G106" s="4">
        <v>1</v>
      </c>
      <c r="H106" s="4"/>
      <c r="I106" s="4" t="s">
        <v>348</v>
      </c>
      <c r="J106" s="5">
        <v>1294800</v>
      </c>
      <c r="K106" s="4" t="s">
        <v>246</v>
      </c>
      <c r="L106" s="5">
        <v>1294800</v>
      </c>
      <c r="M106" s="19" t="s">
        <v>152</v>
      </c>
      <c r="N106" s="11" t="s">
        <v>349</v>
      </c>
      <c r="O106" s="2" t="s">
        <v>157</v>
      </c>
      <c r="P106" s="4" t="s">
        <v>350</v>
      </c>
      <c r="Q106" s="53" t="s">
        <v>27</v>
      </c>
      <c r="R106" s="4" t="s">
        <v>41</v>
      </c>
    </row>
    <row r="107" spans="1:18" ht="35.5" customHeight="1" x14ac:dyDescent="0.35">
      <c r="A107" s="2">
        <v>106</v>
      </c>
      <c r="B107" s="2" t="s">
        <v>123</v>
      </c>
      <c r="C107" s="42" t="s">
        <v>244</v>
      </c>
      <c r="D107" s="19" t="s">
        <v>325</v>
      </c>
      <c r="E107" s="19" t="s">
        <v>325</v>
      </c>
      <c r="F107" s="4" t="s">
        <v>329</v>
      </c>
      <c r="G107" s="4">
        <v>27</v>
      </c>
      <c r="H107" s="19"/>
      <c r="I107" s="19" t="s">
        <v>351</v>
      </c>
      <c r="J107" s="5">
        <v>62995494</v>
      </c>
      <c r="K107" s="4" t="s">
        <v>246</v>
      </c>
      <c r="L107" s="5">
        <v>62995494</v>
      </c>
      <c r="M107" s="11" t="s">
        <v>333</v>
      </c>
      <c r="N107" s="11" t="s">
        <v>352</v>
      </c>
      <c r="O107" s="2" t="s">
        <v>157</v>
      </c>
      <c r="P107" s="4" t="s">
        <v>353</v>
      </c>
      <c r="Q107" s="53" t="s">
        <v>27</v>
      </c>
      <c r="R107" s="44" t="s">
        <v>41</v>
      </c>
    </row>
    <row r="108" spans="1:18" ht="35.5" customHeight="1" x14ac:dyDescent="0.35">
      <c r="A108" s="2">
        <v>107</v>
      </c>
      <c r="B108" s="2" t="s">
        <v>123</v>
      </c>
      <c r="C108" s="19" t="s">
        <v>244</v>
      </c>
      <c r="D108" s="19" t="s">
        <v>325</v>
      </c>
      <c r="E108" s="19" t="s">
        <v>325</v>
      </c>
      <c r="F108" s="4" t="s">
        <v>329</v>
      </c>
      <c r="G108" s="4">
        <v>7</v>
      </c>
      <c r="H108" s="19"/>
      <c r="I108" s="19" t="s">
        <v>354</v>
      </c>
      <c r="J108" s="55">
        <v>16783212</v>
      </c>
      <c r="K108" s="4" t="s">
        <v>246</v>
      </c>
      <c r="L108" s="55">
        <v>16783212</v>
      </c>
      <c r="M108" s="4" t="s">
        <v>84</v>
      </c>
      <c r="N108" s="11" t="s">
        <v>355</v>
      </c>
      <c r="O108" s="2" t="s">
        <v>157</v>
      </c>
      <c r="P108" s="4" t="s">
        <v>356</v>
      </c>
      <c r="Q108" s="53" t="s">
        <v>27</v>
      </c>
      <c r="R108" s="44" t="s">
        <v>41</v>
      </c>
    </row>
    <row r="109" spans="1:18" ht="35.5" customHeight="1" x14ac:dyDescent="0.35">
      <c r="A109" s="2">
        <v>108</v>
      </c>
      <c r="B109" s="2" t="s">
        <v>123</v>
      </c>
      <c r="C109" s="40">
        <v>45994</v>
      </c>
      <c r="D109" s="4" t="s">
        <v>19</v>
      </c>
      <c r="E109" s="4" t="s">
        <v>313</v>
      </c>
      <c r="F109" s="13" t="s">
        <v>314</v>
      </c>
      <c r="G109" s="4">
        <v>2</v>
      </c>
      <c r="H109" s="4"/>
      <c r="I109" s="4" t="s">
        <v>357</v>
      </c>
      <c r="J109" s="11" t="s">
        <v>358</v>
      </c>
      <c r="K109" s="4" t="s">
        <v>97</v>
      </c>
      <c r="L109" s="11" t="s">
        <v>358</v>
      </c>
      <c r="M109" s="11" t="s">
        <v>120</v>
      </c>
      <c r="N109" s="11" t="s">
        <v>317</v>
      </c>
      <c r="O109" s="2" t="s">
        <v>157</v>
      </c>
      <c r="P109" s="4" t="s">
        <v>359</v>
      </c>
      <c r="Q109" s="39" t="s">
        <v>27</v>
      </c>
      <c r="R109" s="39" t="s">
        <v>41</v>
      </c>
    </row>
    <row r="110" spans="1:18" ht="35.5" customHeight="1" x14ac:dyDescent="0.35">
      <c r="A110" s="2">
        <v>109</v>
      </c>
      <c r="B110" s="2" t="s">
        <v>123</v>
      </c>
      <c r="C110" s="19" t="s">
        <v>360</v>
      </c>
      <c r="D110" s="4" t="s">
        <v>19</v>
      </c>
      <c r="E110" s="4" t="s">
        <v>51</v>
      </c>
      <c r="F110" s="4" t="s">
        <v>361</v>
      </c>
      <c r="G110" s="4">
        <v>9</v>
      </c>
      <c r="H110" s="4"/>
      <c r="I110" s="4" t="s">
        <v>362</v>
      </c>
      <c r="J110" s="11" t="s">
        <v>363</v>
      </c>
      <c r="K110" s="4" t="s">
        <v>287</v>
      </c>
      <c r="L110" s="11" t="s">
        <v>363</v>
      </c>
      <c r="M110" s="11" t="s">
        <v>120</v>
      </c>
      <c r="N110" s="4" t="s">
        <v>364</v>
      </c>
      <c r="O110" s="4" t="s">
        <v>154</v>
      </c>
      <c r="P110" s="4" t="s">
        <v>365</v>
      </c>
      <c r="Q110" s="4" t="s">
        <v>28</v>
      </c>
      <c r="R110" s="4" t="s">
        <v>28</v>
      </c>
    </row>
    <row r="111" spans="1:18" ht="35.5" customHeight="1" x14ac:dyDescent="0.35">
      <c r="A111" s="2">
        <v>110</v>
      </c>
      <c r="B111" s="2" t="s">
        <v>18</v>
      </c>
      <c r="C111" s="33">
        <v>45506</v>
      </c>
      <c r="D111" s="4" t="s">
        <v>19</v>
      </c>
      <c r="E111" s="4" t="s">
        <v>87</v>
      </c>
      <c r="F111" s="4" t="s">
        <v>95</v>
      </c>
      <c r="G111" s="4">
        <v>1</v>
      </c>
      <c r="H111" s="4"/>
      <c r="I111" s="4" t="s">
        <v>366</v>
      </c>
      <c r="J111" s="11" t="s">
        <v>367</v>
      </c>
      <c r="K111" s="4" t="s">
        <v>97</v>
      </c>
      <c r="L111" s="5">
        <v>1226497</v>
      </c>
      <c r="M111" s="11" t="s">
        <v>368</v>
      </c>
      <c r="N111" s="11" t="s">
        <v>369</v>
      </c>
      <c r="O111" s="4" t="s">
        <v>154</v>
      </c>
      <c r="P111" s="4" t="s">
        <v>370</v>
      </c>
      <c r="Q111" s="4"/>
      <c r="R111" s="4"/>
    </row>
    <row r="112" spans="1:18" ht="35.5" customHeight="1" x14ac:dyDescent="0.35">
      <c r="A112" s="2">
        <v>111</v>
      </c>
      <c r="B112" s="2" t="s">
        <v>123</v>
      </c>
      <c r="C112" s="29" t="s">
        <v>360</v>
      </c>
      <c r="D112" s="48" t="s">
        <v>19</v>
      </c>
      <c r="E112" s="48" t="s">
        <v>51</v>
      </c>
      <c r="F112" s="48" t="s">
        <v>361</v>
      </c>
      <c r="G112" s="20">
        <v>14</v>
      </c>
      <c r="H112" s="48"/>
      <c r="I112" s="48" t="s">
        <v>362</v>
      </c>
      <c r="J112" s="50" t="s">
        <v>371</v>
      </c>
      <c r="K112" s="49" t="s">
        <v>287</v>
      </c>
      <c r="L112" s="50" t="s">
        <v>371</v>
      </c>
      <c r="M112" s="50" t="s">
        <v>120</v>
      </c>
      <c r="N112" s="20" t="s">
        <v>364</v>
      </c>
      <c r="O112" s="4" t="s">
        <v>154</v>
      </c>
      <c r="P112" s="20" t="s">
        <v>372</v>
      </c>
      <c r="Q112" s="39" t="s">
        <v>27</v>
      </c>
      <c r="R112" s="39" t="s">
        <v>28</v>
      </c>
    </row>
    <row r="113" spans="1:18" ht="35.5" customHeight="1" x14ac:dyDescent="0.35">
      <c r="A113" s="2">
        <v>112</v>
      </c>
      <c r="B113" s="2" t="s">
        <v>302</v>
      </c>
      <c r="C113" s="37" t="s">
        <v>373</v>
      </c>
      <c r="D113" s="4" t="s">
        <v>19</v>
      </c>
      <c r="E113" s="4" t="s">
        <v>374</v>
      </c>
      <c r="F113" s="13" t="s">
        <v>375</v>
      </c>
      <c r="G113" s="13">
        <v>1</v>
      </c>
      <c r="H113" s="13"/>
      <c r="I113" s="13" t="s">
        <v>376</v>
      </c>
      <c r="J113" s="5" t="s">
        <v>377</v>
      </c>
      <c r="K113" s="4" t="s">
        <v>378</v>
      </c>
      <c r="L113" s="5" t="s">
        <v>377</v>
      </c>
      <c r="M113" s="11" t="s">
        <v>368</v>
      </c>
      <c r="N113" s="11" t="s">
        <v>379</v>
      </c>
      <c r="O113" s="4" t="s">
        <v>154</v>
      </c>
      <c r="P113" s="26" t="s">
        <v>380</v>
      </c>
      <c r="Q113" s="44"/>
      <c r="R113" s="44"/>
    </row>
    <row r="114" spans="1:18" ht="35.5" customHeight="1" x14ac:dyDescent="0.35">
      <c r="A114" s="2">
        <v>113</v>
      </c>
      <c r="B114" s="2" t="s">
        <v>123</v>
      </c>
      <c r="C114" s="56" t="s">
        <v>381</v>
      </c>
      <c r="D114" s="11" t="s">
        <v>19</v>
      </c>
      <c r="E114" s="11" t="s">
        <v>382</v>
      </c>
      <c r="F114" s="11" t="s">
        <v>383</v>
      </c>
      <c r="G114" s="11">
        <v>1</v>
      </c>
      <c r="H114" s="13"/>
      <c r="I114" s="13" t="s">
        <v>384</v>
      </c>
      <c r="J114" s="24">
        <v>15000000</v>
      </c>
      <c r="K114" s="11" t="s">
        <v>385</v>
      </c>
      <c r="L114" s="24">
        <v>15000000</v>
      </c>
      <c r="M114" s="50" t="s">
        <v>120</v>
      </c>
      <c r="N114" s="11" t="s">
        <v>386</v>
      </c>
      <c r="O114" s="4" t="s">
        <v>154</v>
      </c>
      <c r="P114" s="3">
        <v>45816</v>
      </c>
      <c r="Q114" s="39" t="s">
        <v>27</v>
      </c>
      <c r="R114" s="39" t="s">
        <v>28</v>
      </c>
    </row>
    <row r="115" spans="1:18" ht="35.5" customHeight="1" x14ac:dyDescent="0.35">
      <c r="A115" s="2">
        <v>114</v>
      </c>
      <c r="B115" s="2" t="s">
        <v>123</v>
      </c>
      <c r="C115" s="11" t="s">
        <v>381</v>
      </c>
      <c r="D115" s="16" t="s">
        <v>387</v>
      </c>
      <c r="E115" s="16" t="s">
        <v>382</v>
      </c>
      <c r="F115" s="11" t="s">
        <v>383</v>
      </c>
      <c r="G115" s="11">
        <v>2</v>
      </c>
      <c r="H115" s="13"/>
      <c r="I115" s="13" t="s">
        <v>388</v>
      </c>
      <c r="J115" s="24">
        <v>3967600</v>
      </c>
      <c r="K115" s="11" t="s">
        <v>385</v>
      </c>
      <c r="L115" s="24">
        <v>3967600</v>
      </c>
      <c r="M115" s="11" t="s">
        <v>174</v>
      </c>
      <c r="N115" s="11" t="s">
        <v>389</v>
      </c>
      <c r="O115" s="4" t="s">
        <v>154</v>
      </c>
      <c r="P115" s="3">
        <v>45846</v>
      </c>
      <c r="Q115" s="43" t="s">
        <v>27</v>
      </c>
      <c r="R115" s="43" t="s">
        <v>41</v>
      </c>
    </row>
    <row r="116" spans="1:18" ht="35.5" customHeight="1" x14ac:dyDescent="0.35">
      <c r="A116" s="2">
        <v>115</v>
      </c>
      <c r="B116" s="2" t="s">
        <v>123</v>
      </c>
      <c r="C116" s="11" t="s">
        <v>381</v>
      </c>
      <c r="D116" s="16" t="s">
        <v>387</v>
      </c>
      <c r="E116" s="16" t="s">
        <v>382</v>
      </c>
      <c r="F116" s="11" t="s">
        <v>383</v>
      </c>
      <c r="G116" s="11">
        <v>4</v>
      </c>
      <c r="H116" s="13"/>
      <c r="I116" s="13" t="s">
        <v>261</v>
      </c>
      <c r="J116" s="24">
        <v>19791775</v>
      </c>
      <c r="K116" s="11" t="s">
        <v>385</v>
      </c>
      <c r="L116" s="24">
        <v>19791775</v>
      </c>
      <c r="M116" s="11" t="s">
        <v>174</v>
      </c>
      <c r="N116" s="11" t="s">
        <v>390</v>
      </c>
      <c r="O116" s="4" t="s">
        <v>154</v>
      </c>
      <c r="P116" s="3">
        <v>45846</v>
      </c>
      <c r="Q116" s="43" t="s">
        <v>27</v>
      </c>
      <c r="R116" s="43" t="s">
        <v>41</v>
      </c>
    </row>
    <row r="117" spans="1:18" ht="35.5" customHeight="1" x14ac:dyDescent="0.35">
      <c r="A117" s="2">
        <v>116</v>
      </c>
      <c r="B117" s="2" t="s">
        <v>123</v>
      </c>
      <c r="C117" s="56" t="s">
        <v>381</v>
      </c>
      <c r="D117" s="16" t="s">
        <v>387</v>
      </c>
      <c r="E117" s="11" t="s">
        <v>382</v>
      </c>
      <c r="F117" s="11" t="s">
        <v>383</v>
      </c>
      <c r="G117" s="11">
        <v>3</v>
      </c>
      <c r="H117" s="13"/>
      <c r="I117" s="13" t="s">
        <v>391</v>
      </c>
      <c r="J117" s="24">
        <v>69150590</v>
      </c>
      <c r="K117" s="11" t="s">
        <v>111</v>
      </c>
      <c r="L117" s="24">
        <v>69150590</v>
      </c>
      <c r="M117" s="11" t="s">
        <v>174</v>
      </c>
      <c r="N117" s="11" t="s">
        <v>392</v>
      </c>
      <c r="O117" s="4" t="s">
        <v>154</v>
      </c>
      <c r="P117" s="3">
        <v>45846</v>
      </c>
      <c r="Q117" s="43" t="s">
        <v>27</v>
      </c>
      <c r="R117" s="43" t="s">
        <v>41</v>
      </c>
    </row>
    <row r="118" spans="1:18" ht="35.5" customHeight="1" x14ac:dyDescent="0.35">
      <c r="A118" s="2">
        <v>117</v>
      </c>
      <c r="B118" s="2" t="s">
        <v>123</v>
      </c>
      <c r="C118" s="56" t="s">
        <v>381</v>
      </c>
      <c r="D118" s="16" t="s">
        <v>387</v>
      </c>
      <c r="E118" s="11" t="s">
        <v>382</v>
      </c>
      <c r="F118" s="11" t="s">
        <v>383</v>
      </c>
      <c r="G118" s="11">
        <v>1</v>
      </c>
      <c r="H118" s="13"/>
      <c r="I118" s="13" t="s">
        <v>393</v>
      </c>
      <c r="J118" s="24">
        <v>1806000</v>
      </c>
      <c r="K118" s="11" t="s">
        <v>111</v>
      </c>
      <c r="L118" s="24">
        <v>1806000</v>
      </c>
      <c r="M118" s="11" t="s">
        <v>174</v>
      </c>
      <c r="N118" s="11" t="s">
        <v>394</v>
      </c>
      <c r="O118" s="4" t="s">
        <v>154</v>
      </c>
      <c r="P118" s="3">
        <v>45846</v>
      </c>
      <c r="Q118" s="43" t="s">
        <v>27</v>
      </c>
      <c r="R118" s="43" t="s">
        <v>41</v>
      </c>
    </row>
    <row r="119" spans="1:18" ht="35.5" customHeight="1" x14ac:dyDescent="0.35">
      <c r="A119" s="2">
        <v>118</v>
      </c>
      <c r="B119" s="2" t="s">
        <v>18</v>
      </c>
      <c r="C119" s="56">
        <v>45117</v>
      </c>
      <c r="D119" s="11" t="s">
        <v>19</v>
      </c>
      <c r="E119" s="11" t="s">
        <v>133</v>
      </c>
      <c r="F119" s="11" t="s">
        <v>395</v>
      </c>
      <c r="G119" s="11">
        <v>8</v>
      </c>
      <c r="H119" s="11" t="s">
        <v>396</v>
      </c>
      <c r="I119" s="11" t="s">
        <v>397</v>
      </c>
      <c r="J119" s="24">
        <v>78951280</v>
      </c>
      <c r="K119" s="11" t="s">
        <v>44</v>
      </c>
      <c r="L119" s="24">
        <v>118616892</v>
      </c>
      <c r="M119" s="11" t="s">
        <v>398</v>
      </c>
      <c r="N119" s="11" t="s">
        <v>399</v>
      </c>
      <c r="O119" s="4" t="s">
        <v>154</v>
      </c>
      <c r="P119" s="3">
        <v>45846</v>
      </c>
      <c r="Q119" s="11" t="s">
        <v>27</v>
      </c>
      <c r="R119" s="11" t="s">
        <v>41</v>
      </c>
    </row>
    <row r="120" spans="1:18" ht="35.5" customHeight="1" x14ac:dyDescent="0.35">
      <c r="A120" s="2">
        <v>119</v>
      </c>
      <c r="B120" s="2" t="s">
        <v>18</v>
      </c>
      <c r="C120" s="56" t="s">
        <v>400</v>
      </c>
      <c r="D120" s="11" t="s">
        <v>19</v>
      </c>
      <c r="E120" s="11" t="s">
        <v>87</v>
      </c>
      <c r="F120" s="21">
        <v>45025</v>
      </c>
      <c r="G120" s="11">
        <v>1</v>
      </c>
      <c r="H120" s="11"/>
      <c r="I120" s="11" t="s">
        <v>401</v>
      </c>
      <c r="J120" s="24">
        <v>17999868</v>
      </c>
      <c r="K120" s="11" t="s">
        <v>23</v>
      </c>
      <c r="L120" s="24">
        <v>18000000</v>
      </c>
      <c r="M120" s="11" t="s">
        <v>174</v>
      </c>
      <c r="N120" s="11" t="s">
        <v>402</v>
      </c>
      <c r="O120" s="4" t="s">
        <v>154</v>
      </c>
      <c r="P120" s="3">
        <v>45846</v>
      </c>
      <c r="Q120" s="11"/>
      <c r="R120" s="11"/>
    </row>
    <row r="121" spans="1:18" ht="35.5" customHeight="1" x14ac:dyDescent="0.35">
      <c r="A121" s="2">
        <v>120</v>
      </c>
      <c r="B121" s="2" t="s">
        <v>123</v>
      </c>
      <c r="C121" s="11" t="s">
        <v>381</v>
      </c>
      <c r="D121" s="16" t="s">
        <v>387</v>
      </c>
      <c r="E121" s="16" t="s">
        <v>382</v>
      </c>
      <c r="F121" s="11" t="s">
        <v>383</v>
      </c>
      <c r="G121" s="11">
        <v>1</v>
      </c>
      <c r="H121" s="13"/>
      <c r="I121" s="13" t="s">
        <v>388</v>
      </c>
      <c r="J121" s="24">
        <v>4179103</v>
      </c>
      <c r="K121" s="11" t="s">
        <v>385</v>
      </c>
      <c r="L121" s="24">
        <v>4179103</v>
      </c>
      <c r="M121" s="11" t="s">
        <v>174</v>
      </c>
      <c r="N121" s="11" t="s">
        <v>389</v>
      </c>
      <c r="O121" s="4" t="s">
        <v>154</v>
      </c>
      <c r="P121" s="3">
        <v>45969</v>
      </c>
      <c r="Q121" s="43" t="s">
        <v>41</v>
      </c>
      <c r="R121" s="43" t="s">
        <v>41</v>
      </c>
    </row>
    <row r="122" spans="1:18" ht="35.5" customHeight="1" x14ac:dyDescent="0.35">
      <c r="A122" s="2">
        <v>121</v>
      </c>
      <c r="B122" s="2" t="s">
        <v>123</v>
      </c>
      <c r="C122" s="11" t="s">
        <v>244</v>
      </c>
      <c r="D122" s="11" t="s">
        <v>325</v>
      </c>
      <c r="E122" s="11" t="s">
        <v>325</v>
      </c>
      <c r="F122" s="11" t="s">
        <v>403</v>
      </c>
      <c r="G122" s="44">
        <v>9</v>
      </c>
      <c r="H122" s="11"/>
      <c r="I122" s="11" t="s">
        <v>404</v>
      </c>
      <c r="J122" s="24">
        <v>15049485</v>
      </c>
      <c r="K122" s="11" t="s">
        <v>246</v>
      </c>
      <c r="L122" s="24">
        <v>15049485</v>
      </c>
      <c r="M122" s="4" t="s">
        <v>84</v>
      </c>
      <c r="N122" s="11" t="s">
        <v>405</v>
      </c>
      <c r="O122" s="4" t="s">
        <v>154</v>
      </c>
      <c r="P122" s="4" t="s">
        <v>406</v>
      </c>
      <c r="Q122" s="53" t="s">
        <v>27</v>
      </c>
      <c r="R122" s="44" t="s">
        <v>41</v>
      </c>
    </row>
    <row r="123" spans="1:18" ht="35.5" customHeight="1" x14ac:dyDescent="0.35">
      <c r="A123" s="2">
        <v>122</v>
      </c>
      <c r="B123" s="2" t="s">
        <v>18</v>
      </c>
      <c r="C123" s="56" t="s">
        <v>407</v>
      </c>
      <c r="D123" s="11" t="s">
        <v>19</v>
      </c>
      <c r="E123" s="11" t="s">
        <v>408</v>
      </c>
      <c r="F123" s="21">
        <v>45628</v>
      </c>
      <c r="G123" s="11">
        <v>1</v>
      </c>
      <c r="H123" s="21"/>
      <c r="I123" s="21" t="s">
        <v>409</v>
      </c>
      <c r="J123" s="57" t="s">
        <v>410</v>
      </c>
      <c r="K123" s="11" t="s">
        <v>23</v>
      </c>
      <c r="L123" s="57" t="s">
        <v>410</v>
      </c>
      <c r="M123" s="11" t="s">
        <v>174</v>
      </c>
      <c r="N123" s="11" t="s">
        <v>411</v>
      </c>
      <c r="O123" s="4" t="s">
        <v>154</v>
      </c>
      <c r="P123" s="4" t="s">
        <v>406</v>
      </c>
      <c r="Q123" s="43" t="s">
        <v>27</v>
      </c>
      <c r="R123" s="43" t="s">
        <v>41</v>
      </c>
    </row>
    <row r="124" spans="1:18" ht="35.5" customHeight="1" x14ac:dyDescent="0.35">
      <c r="A124" s="2">
        <v>123</v>
      </c>
      <c r="B124" s="2" t="s">
        <v>18</v>
      </c>
      <c r="C124" s="56" t="s">
        <v>407</v>
      </c>
      <c r="D124" s="11" t="s">
        <v>19</v>
      </c>
      <c r="E124" s="11" t="s">
        <v>408</v>
      </c>
      <c r="F124" s="21">
        <v>45628</v>
      </c>
      <c r="G124" s="11">
        <v>2</v>
      </c>
      <c r="H124" s="21"/>
      <c r="I124" s="21" t="s">
        <v>412</v>
      </c>
      <c r="J124" s="24">
        <v>16679900</v>
      </c>
      <c r="K124" s="11" t="s">
        <v>23</v>
      </c>
      <c r="L124" s="24">
        <v>16679900</v>
      </c>
      <c r="M124" s="11" t="s">
        <v>174</v>
      </c>
      <c r="N124" s="11" t="s">
        <v>413</v>
      </c>
      <c r="O124" s="4" t="s">
        <v>154</v>
      </c>
      <c r="P124" s="4" t="s">
        <v>406</v>
      </c>
      <c r="Q124" s="43" t="s">
        <v>27</v>
      </c>
      <c r="R124" s="43" t="s">
        <v>41</v>
      </c>
    </row>
    <row r="125" spans="1:18" ht="35.5" customHeight="1" x14ac:dyDescent="0.35">
      <c r="A125" s="2">
        <v>124</v>
      </c>
      <c r="B125" s="2" t="s">
        <v>18</v>
      </c>
      <c r="C125" s="56" t="s">
        <v>407</v>
      </c>
      <c r="D125" s="11" t="s">
        <v>19</v>
      </c>
      <c r="E125" s="11" t="s">
        <v>408</v>
      </c>
      <c r="F125" s="21">
        <v>45628</v>
      </c>
      <c r="G125" s="11">
        <v>4</v>
      </c>
      <c r="H125" s="21"/>
      <c r="I125" s="21" t="s">
        <v>391</v>
      </c>
      <c r="J125" s="24">
        <v>71917967</v>
      </c>
      <c r="K125" s="11" t="s">
        <v>23</v>
      </c>
      <c r="L125" s="24">
        <v>71917967</v>
      </c>
      <c r="M125" s="11" t="s">
        <v>174</v>
      </c>
      <c r="N125" s="11" t="s">
        <v>414</v>
      </c>
      <c r="O125" s="4" t="s">
        <v>154</v>
      </c>
      <c r="P125" s="4" t="s">
        <v>406</v>
      </c>
      <c r="Q125" s="43" t="s">
        <v>27</v>
      </c>
      <c r="R125" s="43" t="s">
        <v>41</v>
      </c>
    </row>
    <row r="126" spans="1:18" ht="35.5" customHeight="1" x14ac:dyDescent="0.35">
      <c r="A126" s="2">
        <v>125</v>
      </c>
      <c r="B126" s="2" t="s">
        <v>18</v>
      </c>
      <c r="C126" s="56" t="s">
        <v>407</v>
      </c>
      <c r="D126" s="11" t="s">
        <v>19</v>
      </c>
      <c r="E126" s="11" t="s">
        <v>408</v>
      </c>
      <c r="F126" s="21">
        <v>45628</v>
      </c>
      <c r="G126" s="11">
        <v>1</v>
      </c>
      <c r="H126" s="21"/>
      <c r="I126" s="21" t="s">
        <v>415</v>
      </c>
      <c r="J126" s="24" t="s">
        <v>416</v>
      </c>
      <c r="K126" s="11" t="s">
        <v>23</v>
      </c>
      <c r="L126" s="57" t="s">
        <v>416</v>
      </c>
      <c r="M126" s="11" t="s">
        <v>174</v>
      </c>
      <c r="N126" s="11" t="s">
        <v>417</v>
      </c>
      <c r="O126" s="4" t="s">
        <v>154</v>
      </c>
      <c r="P126" s="4" t="s">
        <v>406</v>
      </c>
      <c r="Q126" s="43" t="s">
        <v>27</v>
      </c>
      <c r="R126" s="43" t="s">
        <v>41</v>
      </c>
    </row>
    <row r="127" spans="1:18" ht="35.5" customHeight="1" x14ac:dyDescent="0.35">
      <c r="A127" s="2">
        <v>126</v>
      </c>
      <c r="B127" s="2" t="s">
        <v>18</v>
      </c>
      <c r="C127" s="56" t="s">
        <v>407</v>
      </c>
      <c r="D127" s="11" t="s">
        <v>19</v>
      </c>
      <c r="E127" s="11" t="s">
        <v>408</v>
      </c>
      <c r="F127" s="21">
        <v>45628</v>
      </c>
      <c r="G127" s="11">
        <v>1</v>
      </c>
      <c r="H127" s="11"/>
      <c r="I127" s="11" t="s">
        <v>418</v>
      </c>
      <c r="J127" s="24" t="s">
        <v>419</v>
      </c>
      <c r="K127" s="11" t="s">
        <v>23</v>
      </c>
      <c r="L127" s="57" t="s">
        <v>419</v>
      </c>
      <c r="M127" s="11" t="s">
        <v>174</v>
      </c>
      <c r="N127" s="11" t="s">
        <v>420</v>
      </c>
      <c r="O127" s="4" t="s">
        <v>154</v>
      </c>
      <c r="P127" s="4" t="s">
        <v>421</v>
      </c>
      <c r="Q127" s="43" t="s">
        <v>422</v>
      </c>
      <c r="R127" s="43" t="s">
        <v>41</v>
      </c>
    </row>
    <row r="128" spans="1:18" ht="35.5" customHeight="1" x14ac:dyDescent="0.35">
      <c r="A128" s="2">
        <v>127</v>
      </c>
      <c r="B128" s="2" t="s">
        <v>18</v>
      </c>
      <c r="C128" s="56" t="s">
        <v>407</v>
      </c>
      <c r="D128" s="11" t="s">
        <v>19</v>
      </c>
      <c r="E128" s="11" t="s">
        <v>408</v>
      </c>
      <c r="F128" s="21">
        <v>45628</v>
      </c>
      <c r="G128" s="11">
        <v>1</v>
      </c>
      <c r="H128" s="11"/>
      <c r="I128" s="11" t="s">
        <v>423</v>
      </c>
      <c r="J128" s="24" t="s">
        <v>424</v>
      </c>
      <c r="K128" s="11" t="s">
        <v>23</v>
      </c>
      <c r="L128" s="57" t="s">
        <v>424</v>
      </c>
      <c r="M128" s="11" t="s">
        <v>174</v>
      </c>
      <c r="N128" s="11" t="s">
        <v>425</v>
      </c>
      <c r="O128" s="4" t="s">
        <v>154</v>
      </c>
      <c r="P128" s="4" t="s">
        <v>426</v>
      </c>
      <c r="Q128" s="43" t="s">
        <v>27</v>
      </c>
      <c r="R128" s="43" t="s">
        <v>41</v>
      </c>
    </row>
    <row r="129" spans="1:18" ht="35.5" customHeight="1" x14ac:dyDescent="0.35">
      <c r="A129" s="2">
        <v>128</v>
      </c>
      <c r="B129" s="2" t="s">
        <v>18</v>
      </c>
      <c r="C129" s="56" t="s">
        <v>407</v>
      </c>
      <c r="D129" s="11" t="s">
        <v>19</v>
      </c>
      <c r="E129" s="11" t="s">
        <v>408</v>
      </c>
      <c r="F129" s="21">
        <v>45628</v>
      </c>
      <c r="G129" s="11">
        <v>2</v>
      </c>
      <c r="H129" s="11"/>
      <c r="I129" s="11" t="s">
        <v>427</v>
      </c>
      <c r="J129" s="24">
        <v>10093100</v>
      </c>
      <c r="K129" s="11" t="s">
        <v>23</v>
      </c>
      <c r="L129" s="24">
        <v>10093100</v>
      </c>
      <c r="M129" s="11" t="s">
        <v>174</v>
      </c>
      <c r="N129" s="11" t="s">
        <v>428</v>
      </c>
      <c r="O129" s="4" t="s">
        <v>154</v>
      </c>
      <c r="P129" s="4" t="s">
        <v>429</v>
      </c>
      <c r="Q129" s="43" t="s">
        <v>27</v>
      </c>
      <c r="R129" s="43" t="s">
        <v>28</v>
      </c>
    </row>
    <row r="130" spans="1:18" ht="35.5" customHeight="1" x14ac:dyDescent="0.35">
      <c r="A130" s="2">
        <v>129</v>
      </c>
      <c r="B130" s="2" t="s">
        <v>18</v>
      </c>
      <c r="C130" s="56" t="s">
        <v>407</v>
      </c>
      <c r="D130" s="11" t="s">
        <v>19</v>
      </c>
      <c r="E130" s="11" t="s">
        <v>408</v>
      </c>
      <c r="F130" s="21">
        <v>45628</v>
      </c>
      <c r="G130" s="11">
        <v>1</v>
      </c>
      <c r="H130" s="11"/>
      <c r="I130" s="11" t="s">
        <v>430</v>
      </c>
      <c r="J130" s="24" t="s">
        <v>431</v>
      </c>
      <c r="K130" s="11" t="s">
        <v>23</v>
      </c>
      <c r="L130" s="24" t="s">
        <v>431</v>
      </c>
      <c r="M130" s="11" t="s">
        <v>174</v>
      </c>
      <c r="N130" s="11" t="s">
        <v>432</v>
      </c>
      <c r="O130" s="4" t="s">
        <v>154</v>
      </c>
      <c r="P130" s="4" t="s">
        <v>433</v>
      </c>
      <c r="Q130" s="43" t="s">
        <v>61</v>
      </c>
      <c r="R130" s="43" t="s">
        <v>41</v>
      </c>
    </row>
    <row r="131" spans="1:18" ht="35.5" customHeight="1" x14ac:dyDescent="0.35">
      <c r="A131" s="2">
        <v>130</v>
      </c>
      <c r="B131" s="2" t="s">
        <v>18</v>
      </c>
      <c r="C131" s="56" t="s">
        <v>407</v>
      </c>
      <c r="D131" s="11" t="s">
        <v>19</v>
      </c>
      <c r="E131" s="11" t="s">
        <v>408</v>
      </c>
      <c r="F131" s="21">
        <v>45628</v>
      </c>
      <c r="G131" s="11">
        <v>1</v>
      </c>
      <c r="H131" s="11"/>
      <c r="I131" s="11" t="s">
        <v>434</v>
      </c>
      <c r="J131" s="24" t="s">
        <v>435</v>
      </c>
      <c r="K131" s="11" t="s">
        <v>23</v>
      </c>
      <c r="L131" s="24" t="s">
        <v>435</v>
      </c>
      <c r="M131" s="11" t="s">
        <v>174</v>
      </c>
      <c r="N131" s="11" t="s">
        <v>436</v>
      </c>
      <c r="O131" s="4" t="s">
        <v>154</v>
      </c>
      <c r="P131" s="4" t="s">
        <v>437</v>
      </c>
      <c r="Q131" s="43" t="s">
        <v>27</v>
      </c>
      <c r="R131" s="43" t="s">
        <v>41</v>
      </c>
    </row>
    <row r="132" spans="1:18" ht="35.5" customHeight="1" x14ac:dyDescent="0.35">
      <c r="A132" s="2">
        <v>131</v>
      </c>
      <c r="B132" s="2" t="s">
        <v>123</v>
      </c>
      <c r="C132" s="56" t="s">
        <v>381</v>
      </c>
      <c r="D132" s="16" t="s">
        <v>387</v>
      </c>
      <c r="E132" s="11" t="s">
        <v>382</v>
      </c>
      <c r="F132" s="11" t="s">
        <v>383</v>
      </c>
      <c r="G132" s="11">
        <v>2</v>
      </c>
      <c r="H132" s="11"/>
      <c r="I132" s="11" t="s">
        <v>286</v>
      </c>
      <c r="J132" s="24">
        <v>21627200</v>
      </c>
      <c r="K132" s="11" t="s">
        <v>385</v>
      </c>
      <c r="L132" s="24">
        <v>21627200</v>
      </c>
      <c r="M132" s="11" t="s">
        <v>174</v>
      </c>
      <c r="N132" s="11" t="s">
        <v>288</v>
      </c>
      <c r="O132" s="4" t="s">
        <v>154</v>
      </c>
      <c r="P132" s="4" t="s">
        <v>406</v>
      </c>
      <c r="Q132" s="43" t="s">
        <v>27</v>
      </c>
      <c r="R132" s="43" t="s">
        <v>41</v>
      </c>
    </row>
    <row r="133" spans="1:18" ht="35.5" customHeight="1" x14ac:dyDescent="0.35">
      <c r="A133" s="2">
        <v>132</v>
      </c>
      <c r="B133" s="2" t="s">
        <v>123</v>
      </c>
      <c r="C133" s="11" t="s">
        <v>381</v>
      </c>
      <c r="D133" s="16" t="s">
        <v>387</v>
      </c>
      <c r="E133" s="16" t="s">
        <v>382</v>
      </c>
      <c r="F133" s="11" t="s">
        <v>383</v>
      </c>
      <c r="G133" s="11">
        <v>5</v>
      </c>
      <c r="H133" s="11"/>
      <c r="I133" s="11" t="s">
        <v>307</v>
      </c>
      <c r="J133" s="24" t="s">
        <v>438</v>
      </c>
      <c r="K133" s="11" t="s">
        <v>385</v>
      </c>
      <c r="L133" s="24" t="s">
        <v>438</v>
      </c>
      <c r="M133" s="11" t="s">
        <v>174</v>
      </c>
      <c r="N133" s="11" t="s">
        <v>308</v>
      </c>
      <c r="O133" s="4" t="s">
        <v>154</v>
      </c>
      <c r="P133" s="4" t="s">
        <v>406</v>
      </c>
      <c r="Q133" s="43" t="s">
        <v>41</v>
      </c>
      <c r="R133" s="43" t="s">
        <v>41</v>
      </c>
    </row>
    <row r="134" spans="1:18" ht="35.5" customHeight="1" x14ac:dyDescent="0.35">
      <c r="A134" s="2">
        <v>133</v>
      </c>
      <c r="B134" s="2" t="s">
        <v>123</v>
      </c>
      <c r="C134" s="11" t="s">
        <v>381</v>
      </c>
      <c r="D134" s="16" t="s">
        <v>387</v>
      </c>
      <c r="E134" s="16" t="s">
        <v>382</v>
      </c>
      <c r="F134" s="11" t="s">
        <v>383</v>
      </c>
      <c r="G134" s="11">
        <v>11</v>
      </c>
      <c r="H134" s="11"/>
      <c r="I134" s="11" t="s">
        <v>439</v>
      </c>
      <c r="J134" s="24" t="s">
        <v>440</v>
      </c>
      <c r="K134" s="11" t="s">
        <v>385</v>
      </c>
      <c r="L134" s="24" t="s">
        <v>440</v>
      </c>
      <c r="M134" s="11" t="s">
        <v>174</v>
      </c>
      <c r="N134" s="11" t="s">
        <v>441</v>
      </c>
      <c r="O134" s="4" t="s">
        <v>154</v>
      </c>
      <c r="P134" s="4" t="s">
        <v>406</v>
      </c>
      <c r="Q134" s="43" t="s">
        <v>41</v>
      </c>
      <c r="R134" s="43" t="s">
        <v>41</v>
      </c>
    </row>
    <row r="135" spans="1:18" ht="35.5" customHeight="1" x14ac:dyDescent="0.35">
      <c r="A135" s="2">
        <v>134</v>
      </c>
      <c r="B135" s="2" t="s">
        <v>123</v>
      </c>
      <c r="C135" s="11" t="s">
        <v>381</v>
      </c>
      <c r="D135" s="16" t="s">
        <v>387</v>
      </c>
      <c r="E135" s="16" t="s">
        <v>382</v>
      </c>
      <c r="F135" s="11" t="s">
        <v>383</v>
      </c>
      <c r="G135" s="11">
        <v>8</v>
      </c>
      <c r="H135" s="11"/>
      <c r="I135" s="11" t="s">
        <v>442</v>
      </c>
      <c r="J135" s="24">
        <v>80927664</v>
      </c>
      <c r="K135" s="11" t="s">
        <v>385</v>
      </c>
      <c r="L135" s="24">
        <v>80927664</v>
      </c>
      <c r="M135" s="11" t="s">
        <v>174</v>
      </c>
      <c r="N135" s="11" t="s">
        <v>443</v>
      </c>
      <c r="O135" s="4" t="s">
        <v>154</v>
      </c>
      <c r="P135" s="4" t="s">
        <v>406</v>
      </c>
      <c r="Q135" s="43" t="s">
        <v>41</v>
      </c>
      <c r="R135" s="43" t="s">
        <v>41</v>
      </c>
    </row>
    <row r="136" spans="1:18" ht="35.5" customHeight="1" x14ac:dyDescent="0.35">
      <c r="A136" s="2">
        <v>135</v>
      </c>
      <c r="B136" s="2" t="s">
        <v>123</v>
      </c>
      <c r="C136" s="32" t="s">
        <v>244</v>
      </c>
      <c r="D136" s="32" t="s">
        <v>325</v>
      </c>
      <c r="E136" s="32" t="s">
        <v>325</v>
      </c>
      <c r="F136" s="32" t="s">
        <v>329</v>
      </c>
      <c r="G136" s="54">
        <v>8</v>
      </c>
      <c r="H136" s="32"/>
      <c r="I136" s="32" t="s">
        <v>444</v>
      </c>
      <c r="J136" s="24">
        <v>20837090</v>
      </c>
      <c r="K136" s="58" t="s">
        <v>246</v>
      </c>
      <c r="L136" s="24">
        <v>20837090</v>
      </c>
      <c r="M136" s="4" t="s">
        <v>84</v>
      </c>
      <c r="N136" s="54" t="s">
        <v>445</v>
      </c>
      <c r="O136" s="13" t="s">
        <v>154</v>
      </c>
      <c r="P136" s="12">
        <v>45756</v>
      </c>
      <c r="Q136" s="53" t="s">
        <v>27</v>
      </c>
      <c r="R136" s="44" t="s">
        <v>41</v>
      </c>
    </row>
    <row r="137" spans="1:18" ht="35.5" customHeight="1" x14ac:dyDescent="0.35">
      <c r="A137" s="2">
        <v>136</v>
      </c>
      <c r="B137" s="2" t="s">
        <v>123</v>
      </c>
      <c r="C137" s="37" t="s">
        <v>446</v>
      </c>
      <c r="D137" s="32" t="s">
        <v>447</v>
      </c>
      <c r="E137" s="32" t="s">
        <v>448</v>
      </c>
      <c r="F137" s="32" t="s">
        <v>449</v>
      </c>
      <c r="G137" s="54">
        <v>5</v>
      </c>
      <c r="H137" s="32" t="s">
        <v>450</v>
      </c>
      <c r="I137" s="32" t="s">
        <v>451</v>
      </c>
      <c r="J137" s="59">
        <v>22881992</v>
      </c>
      <c r="K137" s="58" t="s">
        <v>452</v>
      </c>
      <c r="L137" s="59">
        <v>22881992</v>
      </c>
      <c r="M137" s="54" t="s">
        <v>453</v>
      </c>
      <c r="N137" s="54" t="s">
        <v>454</v>
      </c>
      <c r="O137" s="13" t="s">
        <v>154</v>
      </c>
      <c r="P137" s="12">
        <v>45756</v>
      </c>
      <c r="Q137" s="60" t="s">
        <v>27</v>
      </c>
      <c r="R137" s="44" t="s">
        <v>41</v>
      </c>
    </row>
    <row r="138" spans="1:18" ht="35.5" customHeight="1" x14ac:dyDescent="0.35">
      <c r="A138" s="2">
        <v>137</v>
      </c>
      <c r="B138" s="2" t="s">
        <v>123</v>
      </c>
      <c r="C138" s="32" t="s">
        <v>446</v>
      </c>
      <c r="D138" s="32" t="s">
        <v>447</v>
      </c>
      <c r="E138" s="32" t="s">
        <v>455</v>
      </c>
      <c r="F138" s="32" t="s">
        <v>449</v>
      </c>
      <c r="G138" s="54">
        <v>15</v>
      </c>
      <c r="H138" s="32" t="s">
        <v>456</v>
      </c>
      <c r="I138" s="32" t="s">
        <v>457</v>
      </c>
      <c r="J138" s="58">
        <v>37679610</v>
      </c>
      <c r="K138" s="61" t="s">
        <v>452</v>
      </c>
      <c r="L138" s="58">
        <v>37679610</v>
      </c>
      <c r="M138" s="54" t="s">
        <v>453</v>
      </c>
      <c r="N138" s="54" t="s">
        <v>458</v>
      </c>
      <c r="O138" s="13" t="s">
        <v>154</v>
      </c>
      <c r="P138" s="12">
        <v>45786</v>
      </c>
      <c r="Q138" s="60" t="s">
        <v>27</v>
      </c>
      <c r="R138" s="60" t="s">
        <v>41</v>
      </c>
    </row>
    <row r="139" spans="1:18" ht="35.5" customHeight="1" x14ac:dyDescent="0.35">
      <c r="A139" s="2">
        <v>138</v>
      </c>
      <c r="B139" s="2" t="s">
        <v>123</v>
      </c>
      <c r="C139" s="37" t="s">
        <v>446</v>
      </c>
      <c r="D139" s="32" t="s">
        <v>447</v>
      </c>
      <c r="E139" s="32" t="s">
        <v>455</v>
      </c>
      <c r="F139" s="32" t="s">
        <v>449</v>
      </c>
      <c r="G139" s="54">
        <v>11</v>
      </c>
      <c r="H139" s="32" t="s">
        <v>459</v>
      </c>
      <c r="I139" s="32" t="s">
        <v>460</v>
      </c>
      <c r="J139" s="58">
        <v>102628086</v>
      </c>
      <c r="K139" s="61" t="s">
        <v>452</v>
      </c>
      <c r="L139" s="58">
        <v>102628086</v>
      </c>
      <c r="M139" s="54" t="s">
        <v>453</v>
      </c>
      <c r="N139" s="54" t="s">
        <v>461</v>
      </c>
      <c r="O139" s="13" t="s">
        <v>154</v>
      </c>
      <c r="P139" s="12">
        <v>45970</v>
      </c>
      <c r="Q139" s="60" t="s">
        <v>27</v>
      </c>
      <c r="R139" s="60" t="s">
        <v>41</v>
      </c>
    </row>
    <row r="140" spans="1:18" ht="35.5" customHeight="1" x14ac:dyDescent="0.35">
      <c r="A140" s="2">
        <v>139</v>
      </c>
      <c r="B140" s="2" t="s">
        <v>123</v>
      </c>
      <c r="C140" s="11" t="s">
        <v>381</v>
      </c>
      <c r="D140" s="16" t="s">
        <v>387</v>
      </c>
      <c r="E140" s="16" t="s">
        <v>382</v>
      </c>
      <c r="F140" s="11" t="s">
        <v>383</v>
      </c>
      <c r="G140" s="54">
        <v>2</v>
      </c>
      <c r="H140" s="32"/>
      <c r="I140" s="32" t="s">
        <v>286</v>
      </c>
      <c r="J140" s="58">
        <v>15894900</v>
      </c>
      <c r="K140" s="11" t="s">
        <v>385</v>
      </c>
      <c r="L140" s="58">
        <v>15894900</v>
      </c>
      <c r="M140" s="11" t="s">
        <v>174</v>
      </c>
      <c r="N140" s="11" t="s">
        <v>288</v>
      </c>
      <c r="O140" s="13" t="s">
        <v>154</v>
      </c>
      <c r="P140" s="13" t="s">
        <v>462</v>
      </c>
      <c r="Q140" s="44" t="s">
        <v>41</v>
      </c>
      <c r="R140" s="44" t="s">
        <v>41</v>
      </c>
    </row>
    <row r="141" spans="1:18" ht="35.5" customHeight="1" x14ac:dyDescent="0.35">
      <c r="A141" s="2">
        <v>140</v>
      </c>
      <c r="B141" s="2" t="s">
        <v>123</v>
      </c>
      <c r="C141" s="11" t="s">
        <v>381</v>
      </c>
      <c r="D141" s="16" t="s">
        <v>387</v>
      </c>
      <c r="E141" s="16" t="s">
        <v>382</v>
      </c>
      <c r="F141" s="11" t="s">
        <v>383</v>
      </c>
      <c r="G141" s="54">
        <v>4</v>
      </c>
      <c r="H141" s="32"/>
      <c r="I141" s="32" t="s">
        <v>307</v>
      </c>
      <c r="J141" s="58">
        <v>18292050</v>
      </c>
      <c r="K141" s="11" t="s">
        <v>385</v>
      </c>
      <c r="L141" s="58">
        <v>18292050</v>
      </c>
      <c r="M141" s="11" t="s">
        <v>174</v>
      </c>
      <c r="N141" s="11" t="s">
        <v>308</v>
      </c>
      <c r="O141" s="13" t="s">
        <v>154</v>
      </c>
      <c r="P141" s="12">
        <v>45848</v>
      </c>
      <c r="Q141" s="44" t="s">
        <v>41</v>
      </c>
      <c r="R141" s="44" t="s">
        <v>41</v>
      </c>
    </row>
    <row r="142" spans="1:18" ht="35.5" customHeight="1" x14ac:dyDescent="0.35">
      <c r="A142" s="2">
        <v>141</v>
      </c>
      <c r="B142" s="2" t="s">
        <v>18</v>
      </c>
      <c r="C142" s="56" t="s">
        <v>407</v>
      </c>
      <c r="D142" s="11" t="s">
        <v>19</v>
      </c>
      <c r="E142" s="11" t="s">
        <v>408</v>
      </c>
      <c r="F142" s="21">
        <v>45628</v>
      </c>
      <c r="G142" s="54">
        <v>2</v>
      </c>
      <c r="H142" s="32"/>
      <c r="I142" s="32" t="s">
        <v>412</v>
      </c>
      <c r="J142" s="58">
        <v>17778831</v>
      </c>
      <c r="K142" s="11" t="s">
        <v>23</v>
      </c>
      <c r="L142" s="58">
        <v>17778831</v>
      </c>
      <c r="M142" s="11" t="s">
        <v>174</v>
      </c>
      <c r="N142" s="11" t="s">
        <v>413</v>
      </c>
      <c r="O142" s="13" t="s">
        <v>154</v>
      </c>
      <c r="P142" s="12">
        <v>45910</v>
      </c>
      <c r="Q142" s="44" t="s">
        <v>41</v>
      </c>
      <c r="R142" s="44" t="s">
        <v>41</v>
      </c>
    </row>
    <row r="143" spans="1:18" ht="35.5" customHeight="1" x14ac:dyDescent="0.35">
      <c r="A143" s="2">
        <v>142</v>
      </c>
      <c r="B143" s="2" t="s">
        <v>123</v>
      </c>
      <c r="C143" s="11" t="s">
        <v>381</v>
      </c>
      <c r="D143" s="16" t="s">
        <v>387</v>
      </c>
      <c r="E143" s="16" t="s">
        <v>382</v>
      </c>
      <c r="F143" s="11" t="s">
        <v>383</v>
      </c>
      <c r="G143" s="54">
        <v>3</v>
      </c>
      <c r="H143" s="32"/>
      <c r="I143" s="32" t="s">
        <v>442</v>
      </c>
      <c r="J143" s="58">
        <v>5174500</v>
      </c>
      <c r="K143" s="11" t="s">
        <v>385</v>
      </c>
      <c r="L143" s="58">
        <v>5174500</v>
      </c>
      <c r="M143" s="11" t="s">
        <v>174</v>
      </c>
      <c r="N143" s="11" t="s">
        <v>443</v>
      </c>
      <c r="O143" s="13" t="s">
        <v>154</v>
      </c>
      <c r="P143" s="12">
        <v>45910</v>
      </c>
      <c r="Q143" s="44" t="s">
        <v>41</v>
      </c>
      <c r="R143" s="44" t="s">
        <v>41</v>
      </c>
    </row>
    <row r="144" spans="1:18" ht="35.5" customHeight="1" x14ac:dyDescent="0.35">
      <c r="A144" s="2">
        <v>143</v>
      </c>
      <c r="B144" s="2" t="s">
        <v>302</v>
      </c>
      <c r="C144" s="32" t="s">
        <v>463</v>
      </c>
      <c r="D144" s="4" t="s">
        <v>19</v>
      </c>
      <c r="E144" s="4" t="s">
        <v>87</v>
      </c>
      <c r="F144" s="3">
        <v>45997</v>
      </c>
      <c r="G144" s="54">
        <v>1</v>
      </c>
      <c r="H144" s="32"/>
      <c r="I144" s="32" t="s">
        <v>464</v>
      </c>
      <c r="J144" s="58" t="s">
        <v>465</v>
      </c>
      <c r="K144" s="62" t="s">
        <v>466</v>
      </c>
      <c r="L144" s="58" t="s">
        <v>465</v>
      </c>
      <c r="M144" s="11" t="s">
        <v>174</v>
      </c>
      <c r="N144" s="44" t="s">
        <v>24</v>
      </c>
      <c r="O144" s="13" t="s">
        <v>154</v>
      </c>
      <c r="P144" s="12">
        <v>45910</v>
      </c>
      <c r="Q144" s="44" t="s">
        <v>41</v>
      </c>
      <c r="R144" s="44" t="s">
        <v>41</v>
      </c>
    </row>
    <row r="145" spans="1:18" ht="35.5" customHeight="1" x14ac:dyDescent="0.35">
      <c r="A145" s="2">
        <v>144</v>
      </c>
      <c r="B145" s="2" t="s">
        <v>302</v>
      </c>
      <c r="C145" s="37" t="s">
        <v>463</v>
      </c>
      <c r="D145" s="4" t="s">
        <v>19</v>
      </c>
      <c r="E145" s="4" t="s">
        <v>87</v>
      </c>
      <c r="F145" s="3">
        <v>45997</v>
      </c>
      <c r="G145" s="54">
        <v>4</v>
      </c>
      <c r="H145" s="32"/>
      <c r="I145" s="32" t="s">
        <v>464</v>
      </c>
      <c r="J145" s="58">
        <v>133497947</v>
      </c>
      <c r="K145" s="62" t="s">
        <v>466</v>
      </c>
      <c r="L145" s="58">
        <v>133497947</v>
      </c>
      <c r="M145" s="11" t="s">
        <v>174</v>
      </c>
      <c r="N145" s="44" t="s">
        <v>24</v>
      </c>
      <c r="O145" s="13" t="s">
        <v>154</v>
      </c>
      <c r="P145" s="12">
        <v>45940</v>
      </c>
      <c r="Q145" s="44" t="s">
        <v>41</v>
      </c>
      <c r="R145" s="44" t="s">
        <v>41</v>
      </c>
    </row>
    <row r="146" spans="1:18" ht="35.5" customHeight="1" x14ac:dyDescent="0.35">
      <c r="A146" s="2">
        <v>145</v>
      </c>
      <c r="B146" s="2" t="s">
        <v>123</v>
      </c>
      <c r="C146" s="63" t="s">
        <v>244</v>
      </c>
      <c r="D146" s="32" t="s">
        <v>325</v>
      </c>
      <c r="E146" s="32" t="s">
        <v>325</v>
      </c>
      <c r="F146" s="40">
        <v>45545</v>
      </c>
      <c r="G146" s="32">
        <v>11</v>
      </c>
      <c r="H146" s="4"/>
      <c r="I146" s="4" t="s">
        <v>467</v>
      </c>
      <c r="J146" s="26">
        <v>24192483</v>
      </c>
      <c r="K146" s="62" t="s">
        <v>246</v>
      </c>
      <c r="L146" s="26">
        <v>24192483</v>
      </c>
      <c r="M146" s="4" t="s">
        <v>84</v>
      </c>
      <c r="N146" s="26" t="s">
        <v>468</v>
      </c>
      <c r="O146" s="13" t="s">
        <v>154</v>
      </c>
      <c r="P146" s="34">
        <v>45940</v>
      </c>
      <c r="Q146" s="53" t="s">
        <v>27</v>
      </c>
      <c r="R146" s="44" t="s">
        <v>41</v>
      </c>
    </row>
    <row r="147" spans="1:18" ht="35.5" customHeight="1" x14ac:dyDescent="0.35">
      <c r="A147" s="2">
        <v>146</v>
      </c>
      <c r="B147" s="2" t="s">
        <v>18</v>
      </c>
      <c r="C147" s="11" t="s">
        <v>181</v>
      </c>
      <c r="D147" s="11" t="s">
        <v>325</v>
      </c>
      <c r="E147" s="11" t="s">
        <v>325</v>
      </c>
      <c r="F147" s="11" t="s">
        <v>469</v>
      </c>
      <c r="G147" s="11">
        <v>18</v>
      </c>
      <c r="H147" s="11"/>
      <c r="I147" s="11" t="s">
        <v>470</v>
      </c>
      <c r="J147" s="24">
        <v>338209689</v>
      </c>
      <c r="K147" s="11" t="s">
        <v>97</v>
      </c>
      <c r="L147" s="24">
        <v>338209689</v>
      </c>
      <c r="M147" s="11" t="s">
        <v>333</v>
      </c>
      <c r="N147" s="11" t="s">
        <v>471</v>
      </c>
      <c r="O147" s="13" t="s">
        <v>154</v>
      </c>
      <c r="P147" s="4" t="s">
        <v>472</v>
      </c>
      <c r="Q147" s="53" t="s">
        <v>27</v>
      </c>
      <c r="R147" s="44" t="s">
        <v>41</v>
      </c>
    </row>
    <row r="148" spans="1:18" ht="35.5" customHeight="1" x14ac:dyDescent="0.35">
      <c r="A148" s="2">
        <v>147</v>
      </c>
      <c r="B148" s="2" t="s">
        <v>18</v>
      </c>
      <c r="C148" s="21">
        <v>45506</v>
      </c>
      <c r="D148" s="11" t="s">
        <v>19</v>
      </c>
      <c r="E148" s="11" t="s">
        <v>87</v>
      </c>
      <c r="F148" s="11" t="s">
        <v>95</v>
      </c>
      <c r="G148" s="11">
        <v>4</v>
      </c>
      <c r="H148" s="11"/>
      <c r="I148" s="11" t="s">
        <v>470</v>
      </c>
      <c r="J148" s="24">
        <v>20704739</v>
      </c>
      <c r="K148" s="11" t="s">
        <v>97</v>
      </c>
      <c r="L148" s="24">
        <v>20704739</v>
      </c>
      <c r="M148" s="11" t="s">
        <v>333</v>
      </c>
      <c r="N148" s="11" t="s">
        <v>471</v>
      </c>
      <c r="O148" s="13" t="s">
        <v>154</v>
      </c>
      <c r="P148" s="4" t="s">
        <v>472</v>
      </c>
      <c r="Q148" s="11"/>
      <c r="R148" s="11"/>
    </row>
    <row r="149" spans="1:18" ht="35.5" customHeight="1" x14ac:dyDescent="0.35">
      <c r="A149" s="2">
        <v>148</v>
      </c>
      <c r="B149" s="2" t="s">
        <v>18</v>
      </c>
      <c r="C149" s="56" t="s">
        <v>407</v>
      </c>
      <c r="D149" s="11" t="s">
        <v>19</v>
      </c>
      <c r="E149" s="11" t="s">
        <v>408</v>
      </c>
      <c r="F149" s="21">
        <v>45628</v>
      </c>
      <c r="G149" s="11">
        <v>1</v>
      </c>
      <c r="H149" s="21"/>
      <c r="I149" s="21" t="s">
        <v>409</v>
      </c>
      <c r="J149" s="4" t="s">
        <v>473</v>
      </c>
      <c r="K149" s="11" t="s">
        <v>23</v>
      </c>
      <c r="L149" s="4" t="s">
        <v>473</v>
      </c>
      <c r="M149" s="11" t="s">
        <v>174</v>
      </c>
      <c r="N149" s="11" t="s">
        <v>411</v>
      </c>
      <c r="O149" s="4" t="s">
        <v>154</v>
      </c>
      <c r="P149" s="4" t="s">
        <v>474</v>
      </c>
      <c r="Q149" s="44" t="s">
        <v>41</v>
      </c>
      <c r="R149" s="44" t="s">
        <v>41</v>
      </c>
    </row>
    <row r="150" spans="1:18" ht="35.5" customHeight="1" x14ac:dyDescent="0.35">
      <c r="A150" s="2">
        <v>149</v>
      </c>
      <c r="B150" s="2" t="s">
        <v>123</v>
      </c>
      <c r="C150" s="32" t="s">
        <v>446</v>
      </c>
      <c r="D150" s="32" t="s">
        <v>447</v>
      </c>
      <c r="E150" s="32" t="s">
        <v>455</v>
      </c>
      <c r="F150" s="32" t="s">
        <v>449</v>
      </c>
      <c r="G150" s="54">
        <v>2</v>
      </c>
      <c r="H150" s="32" t="s">
        <v>475</v>
      </c>
      <c r="I150" s="32" t="s">
        <v>460</v>
      </c>
      <c r="J150" s="58">
        <v>24757771</v>
      </c>
      <c r="K150" s="61" t="s">
        <v>452</v>
      </c>
      <c r="L150" s="58">
        <v>24757771</v>
      </c>
      <c r="M150" s="54" t="s">
        <v>453</v>
      </c>
      <c r="N150" s="54" t="s">
        <v>461</v>
      </c>
      <c r="O150" s="13" t="s">
        <v>154</v>
      </c>
      <c r="P150" s="48" t="s">
        <v>474</v>
      </c>
      <c r="Q150" s="44" t="s">
        <v>27</v>
      </c>
      <c r="R150" s="44" t="s">
        <v>41</v>
      </c>
    </row>
    <row r="151" spans="1:18" ht="35.5" customHeight="1" x14ac:dyDescent="0.35">
      <c r="A151" s="2">
        <v>150</v>
      </c>
      <c r="B151" s="2" t="s">
        <v>123</v>
      </c>
      <c r="C151" s="11" t="s">
        <v>381</v>
      </c>
      <c r="D151" s="16" t="s">
        <v>387</v>
      </c>
      <c r="E151" s="16" t="s">
        <v>382</v>
      </c>
      <c r="F151" s="11" t="s">
        <v>383</v>
      </c>
      <c r="G151" s="11">
        <v>2</v>
      </c>
      <c r="H151" s="11"/>
      <c r="I151" s="11" t="s">
        <v>442</v>
      </c>
      <c r="J151" s="24" t="s">
        <v>476</v>
      </c>
      <c r="K151" s="11" t="s">
        <v>385</v>
      </c>
      <c r="L151" s="24" t="s">
        <v>476</v>
      </c>
      <c r="M151" s="11" t="s">
        <v>174</v>
      </c>
      <c r="N151" s="11" t="s">
        <v>443</v>
      </c>
      <c r="O151" s="4" t="s">
        <v>154</v>
      </c>
      <c r="P151" s="4" t="s">
        <v>474</v>
      </c>
      <c r="Q151" s="44" t="s">
        <v>41</v>
      </c>
      <c r="R151" s="44" t="s">
        <v>41</v>
      </c>
    </row>
    <row r="152" spans="1:18" ht="35.5" customHeight="1" x14ac:dyDescent="0.35">
      <c r="A152" s="2">
        <v>151</v>
      </c>
      <c r="B152" s="2" t="s">
        <v>18</v>
      </c>
      <c r="C152" s="64" t="s">
        <v>407</v>
      </c>
      <c r="D152" s="29" t="s">
        <v>19</v>
      </c>
      <c r="E152" s="29" t="s">
        <v>408</v>
      </c>
      <c r="F152" s="31">
        <v>45628</v>
      </c>
      <c r="G152" s="50">
        <v>3</v>
      </c>
      <c r="H152" s="29"/>
      <c r="I152" s="29" t="s">
        <v>477</v>
      </c>
      <c r="J152" s="20" t="s">
        <v>478</v>
      </c>
      <c r="K152" s="61" t="s">
        <v>23</v>
      </c>
      <c r="L152" s="20" t="s">
        <v>478</v>
      </c>
      <c r="M152" s="50" t="s">
        <v>174</v>
      </c>
      <c r="N152" s="50" t="s">
        <v>479</v>
      </c>
      <c r="O152" s="48" t="s">
        <v>154</v>
      </c>
      <c r="P152" s="20" t="s">
        <v>480</v>
      </c>
      <c r="Q152" s="44" t="s">
        <v>41</v>
      </c>
      <c r="R152" s="44" t="s">
        <v>41</v>
      </c>
    </row>
    <row r="153" spans="1:18" ht="35.5" customHeight="1" x14ac:dyDescent="0.35">
      <c r="A153" s="2">
        <v>152</v>
      </c>
      <c r="B153" s="2" t="s">
        <v>123</v>
      </c>
      <c r="C153" s="40">
        <v>45994</v>
      </c>
      <c r="D153" s="48" t="s">
        <v>19</v>
      </c>
      <c r="E153" s="48" t="s">
        <v>313</v>
      </c>
      <c r="F153" s="48" t="s">
        <v>314</v>
      </c>
      <c r="G153" s="20">
        <v>34</v>
      </c>
      <c r="H153" s="48"/>
      <c r="I153" s="48" t="s">
        <v>96</v>
      </c>
      <c r="J153" s="61">
        <v>49326448</v>
      </c>
      <c r="K153" s="49" t="s">
        <v>97</v>
      </c>
      <c r="L153" s="61">
        <v>49326448</v>
      </c>
      <c r="M153" s="50" t="s">
        <v>120</v>
      </c>
      <c r="N153" s="65"/>
      <c r="O153" s="48" t="s">
        <v>154</v>
      </c>
      <c r="P153" s="23">
        <v>45849</v>
      </c>
      <c r="Q153" s="44"/>
      <c r="R153" s="44" t="s">
        <v>41</v>
      </c>
    </row>
    <row r="154" spans="1:18" ht="35.5" customHeight="1" x14ac:dyDescent="0.35">
      <c r="A154" s="2">
        <v>153</v>
      </c>
      <c r="B154" s="2" t="s">
        <v>123</v>
      </c>
      <c r="C154" s="29" t="s">
        <v>275</v>
      </c>
      <c r="D154" s="29" t="s">
        <v>19</v>
      </c>
      <c r="E154" s="29" t="s">
        <v>47</v>
      </c>
      <c r="F154" s="29" t="s">
        <v>275</v>
      </c>
      <c r="G154" s="50">
        <v>15</v>
      </c>
      <c r="H154" s="29" t="s">
        <v>481</v>
      </c>
      <c r="I154" s="29" t="s">
        <v>482</v>
      </c>
      <c r="J154" s="61">
        <v>111904258</v>
      </c>
      <c r="K154" s="61" t="s">
        <v>483</v>
      </c>
      <c r="L154" s="61" t="s">
        <v>484</v>
      </c>
      <c r="M154" s="50" t="s">
        <v>321</v>
      </c>
      <c r="N154" s="50" t="s">
        <v>485</v>
      </c>
      <c r="O154" s="48" t="s">
        <v>154</v>
      </c>
      <c r="P154" s="23">
        <v>45849</v>
      </c>
      <c r="Q154" s="44" t="s">
        <v>27</v>
      </c>
      <c r="R154" s="44" t="s">
        <v>41</v>
      </c>
    </row>
    <row r="155" spans="1:18" ht="35.5" customHeight="1" x14ac:dyDescent="0.35">
      <c r="A155" s="2">
        <v>154</v>
      </c>
      <c r="B155" s="2" t="s">
        <v>123</v>
      </c>
      <c r="C155" s="64" t="s">
        <v>486</v>
      </c>
      <c r="D155" s="29" t="s">
        <v>387</v>
      </c>
      <c r="E155" s="29" t="s">
        <v>487</v>
      </c>
      <c r="F155" s="29" t="s">
        <v>488</v>
      </c>
      <c r="G155" s="50">
        <v>1</v>
      </c>
      <c r="H155" s="29"/>
      <c r="I155" s="29" t="s">
        <v>489</v>
      </c>
      <c r="J155" s="61">
        <v>2392140</v>
      </c>
      <c r="K155" s="61" t="s">
        <v>483</v>
      </c>
      <c r="L155" s="61" t="s">
        <v>490</v>
      </c>
      <c r="M155" s="50" t="s">
        <v>321</v>
      </c>
      <c r="N155" s="50" t="s">
        <v>491</v>
      </c>
      <c r="O155" s="48" t="s">
        <v>154</v>
      </c>
      <c r="P155" s="23">
        <v>45849</v>
      </c>
      <c r="Q155" s="44" t="s">
        <v>27</v>
      </c>
      <c r="R155" s="44" t="s">
        <v>28</v>
      </c>
    </row>
    <row r="156" spans="1:18" ht="35.5" customHeight="1" x14ac:dyDescent="0.35">
      <c r="A156" s="2">
        <v>155</v>
      </c>
      <c r="B156" s="2" t="s">
        <v>123</v>
      </c>
      <c r="C156" s="32" t="s">
        <v>446</v>
      </c>
      <c r="D156" s="32" t="s">
        <v>447</v>
      </c>
      <c r="E156" s="32" t="s">
        <v>455</v>
      </c>
      <c r="F156" s="32" t="s">
        <v>449</v>
      </c>
      <c r="G156" s="54">
        <v>1</v>
      </c>
      <c r="H156" s="32" t="s">
        <v>492</v>
      </c>
      <c r="I156" s="32" t="s">
        <v>493</v>
      </c>
      <c r="J156" s="58">
        <v>9683714</v>
      </c>
      <c r="K156" s="61" t="s">
        <v>452</v>
      </c>
      <c r="L156" s="58">
        <v>9683714</v>
      </c>
      <c r="M156" s="54" t="s">
        <v>453</v>
      </c>
      <c r="N156" s="54" t="s">
        <v>461</v>
      </c>
      <c r="O156" s="13" t="s">
        <v>154</v>
      </c>
      <c r="P156" s="12">
        <v>45849</v>
      </c>
      <c r="Q156" s="44" t="s">
        <v>27</v>
      </c>
      <c r="R156" s="44" t="s">
        <v>41</v>
      </c>
    </row>
    <row r="157" spans="1:18" ht="35.5" customHeight="1" x14ac:dyDescent="0.35">
      <c r="A157" s="2">
        <v>156</v>
      </c>
      <c r="B157" s="2" t="s">
        <v>123</v>
      </c>
      <c r="C157" s="32" t="s">
        <v>446</v>
      </c>
      <c r="D157" s="32" t="s">
        <v>447</v>
      </c>
      <c r="E157" s="32" t="s">
        <v>455</v>
      </c>
      <c r="F157" s="32" t="s">
        <v>449</v>
      </c>
      <c r="G157" s="54">
        <v>4</v>
      </c>
      <c r="H157" s="32" t="s">
        <v>494</v>
      </c>
      <c r="I157" s="32" t="s">
        <v>495</v>
      </c>
      <c r="J157" s="58">
        <v>67308978</v>
      </c>
      <c r="K157" s="61" t="s">
        <v>452</v>
      </c>
      <c r="L157" s="58">
        <v>67308978</v>
      </c>
      <c r="M157" s="54" t="s">
        <v>453</v>
      </c>
      <c r="N157" s="54" t="s">
        <v>496</v>
      </c>
      <c r="O157" s="13" t="s">
        <v>154</v>
      </c>
      <c r="P157" s="12">
        <v>45880</v>
      </c>
      <c r="Q157" s="44" t="s">
        <v>61</v>
      </c>
      <c r="R157" s="44" t="s">
        <v>41</v>
      </c>
    </row>
    <row r="158" spans="1:18" ht="35.5" customHeight="1" x14ac:dyDescent="0.35">
      <c r="A158" s="2">
        <v>157</v>
      </c>
      <c r="B158" s="2" t="s">
        <v>18</v>
      </c>
      <c r="C158" s="66" t="s">
        <v>407</v>
      </c>
      <c r="D158" s="29" t="s">
        <v>19</v>
      </c>
      <c r="E158" s="29" t="s">
        <v>408</v>
      </c>
      <c r="F158" s="31">
        <v>45628</v>
      </c>
      <c r="G158" s="50">
        <v>4</v>
      </c>
      <c r="H158" s="29" t="s">
        <v>497</v>
      </c>
      <c r="I158" s="29" t="s">
        <v>464</v>
      </c>
      <c r="J158" s="61" t="s">
        <v>498</v>
      </c>
      <c r="K158" s="61" t="s">
        <v>23</v>
      </c>
      <c r="L158" s="61" t="s">
        <v>498</v>
      </c>
      <c r="M158" s="50" t="s">
        <v>174</v>
      </c>
      <c r="N158" s="50" t="s">
        <v>464</v>
      </c>
      <c r="O158" s="48" t="s">
        <v>154</v>
      </c>
      <c r="P158" s="23">
        <v>45972</v>
      </c>
      <c r="Q158" s="44" t="s">
        <v>41</v>
      </c>
      <c r="R158" s="44" t="s">
        <v>41</v>
      </c>
    </row>
    <row r="159" spans="1:18" ht="35.5" customHeight="1" x14ac:dyDescent="0.35">
      <c r="A159" s="2">
        <v>158</v>
      </c>
      <c r="B159" s="2" t="s">
        <v>123</v>
      </c>
      <c r="C159" s="67" t="s">
        <v>244</v>
      </c>
      <c r="D159" s="42" t="s">
        <v>325</v>
      </c>
      <c r="E159" s="42" t="s">
        <v>325</v>
      </c>
      <c r="F159" s="42" t="s">
        <v>329</v>
      </c>
      <c r="G159" s="26">
        <v>9</v>
      </c>
      <c r="H159" s="4"/>
      <c r="I159" s="4" t="s">
        <v>499</v>
      </c>
      <c r="J159" s="26">
        <v>26720410</v>
      </c>
      <c r="K159" s="5" t="s">
        <v>500</v>
      </c>
      <c r="L159" s="26">
        <v>26720410</v>
      </c>
      <c r="M159" s="19" t="s">
        <v>152</v>
      </c>
      <c r="N159" s="26" t="s">
        <v>501</v>
      </c>
      <c r="O159" s="48" t="s">
        <v>154</v>
      </c>
      <c r="P159" s="26" t="s">
        <v>502</v>
      </c>
      <c r="Q159" s="44" t="s">
        <v>27</v>
      </c>
      <c r="R159" s="44" t="s">
        <v>41</v>
      </c>
    </row>
    <row r="160" spans="1:18" ht="35.5" customHeight="1" x14ac:dyDescent="0.35">
      <c r="A160" s="2">
        <v>159</v>
      </c>
      <c r="B160" s="2" t="s">
        <v>123</v>
      </c>
      <c r="C160" s="68" t="s">
        <v>244</v>
      </c>
      <c r="D160" s="42" t="s">
        <v>325</v>
      </c>
      <c r="E160" s="42" t="s">
        <v>325</v>
      </c>
      <c r="F160" s="42" t="s">
        <v>403</v>
      </c>
      <c r="G160" s="26">
        <v>15</v>
      </c>
      <c r="H160" s="29" t="s">
        <v>503</v>
      </c>
      <c r="I160" s="29" t="s">
        <v>504</v>
      </c>
      <c r="J160" s="26" t="s">
        <v>505</v>
      </c>
      <c r="K160" s="5" t="s">
        <v>500</v>
      </c>
      <c r="L160" s="26" t="s">
        <v>505</v>
      </c>
      <c r="M160" s="4" t="s">
        <v>84</v>
      </c>
      <c r="N160" s="26" t="s">
        <v>506</v>
      </c>
      <c r="O160" s="48" t="s">
        <v>154</v>
      </c>
      <c r="P160" s="48" t="s">
        <v>507</v>
      </c>
      <c r="Q160" s="44" t="s">
        <v>27</v>
      </c>
      <c r="R160" s="44" t="s">
        <v>41</v>
      </c>
    </row>
    <row r="161" spans="1:18" ht="35.5" customHeight="1" x14ac:dyDescent="0.35">
      <c r="A161" s="2">
        <v>160</v>
      </c>
      <c r="B161" s="2" t="s">
        <v>302</v>
      </c>
      <c r="C161" s="67" t="s">
        <v>463</v>
      </c>
      <c r="D161" s="42" t="s">
        <v>19</v>
      </c>
      <c r="E161" s="42" t="s">
        <v>408</v>
      </c>
      <c r="F161" s="42">
        <v>45997</v>
      </c>
      <c r="G161" s="26">
        <v>1</v>
      </c>
      <c r="H161" s="29">
        <v>1774</v>
      </c>
      <c r="I161" s="29" t="s">
        <v>508</v>
      </c>
      <c r="J161" s="26">
        <v>47119118</v>
      </c>
      <c r="K161" s="5" t="s">
        <v>466</v>
      </c>
      <c r="L161" s="26">
        <v>47119118</v>
      </c>
      <c r="M161" s="26" t="s">
        <v>174</v>
      </c>
      <c r="N161" s="26" t="s">
        <v>509</v>
      </c>
      <c r="O161" s="48" t="s">
        <v>154</v>
      </c>
      <c r="P161" s="48" t="s">
        <v>510</v>
      </c>
      <c r="Q161" s="44" t="s">
        <v>61</v>
      </c>
      <c r="R161" s="44" t="s">
        <v>422</v>
      </c>
    </row>
    <row r="162" spans="1:18" ht="35.5" customHeight="1" x14ac:dyDescent="0.35">
      <c r="A162" s="2">
        <v>161</v>
      </c>
      <c r="B162" s="2" t="s">
        <v>302</v>
      </c>
      <c r="C162" s="68" t="s">
        <v>463</v>
      </c>
      <c r="D162" s="42" t="s">
        <v>19</v>
      </c>
      <c r="E162" s="42" t="s">
        <v>408</v>
      </c>
      <c r="F162" s="42">
        <v>45997</v>
      </c>
      <c r="G162" s="26">
        <v>1</v>
      </c>
      <c r="H162" s="29">
        <v>1775</v>
      </c>
      <c r="I162" s="29" t="s">
        <v>511</v>
      </c>
      <c r="J162" s="26">
        <v>2351985</v>
      </c>
      <c r="K162" s="5" t="s">
        <v>466</v>
      </c>
      <c r="L162" s="26">
        <v>2351985</v>
      </c>
      <c r="M162" s="26" t="s">
        <v>174</v>
      </c>
      <c r="N162" s="26" t="s">
        <v>509</v>
      </c>
      <c r="O162" s="48" t="s">
        <v>154</v>
      </c>
      <c r="P162" s="48" t="s">
        <v>510</v>
      </c>
      <c r="Q162" s="44" t="s">
        <v>61</v>
      </c>
      <c r="R162" s="44" t="s">
        <v>422</v>
      </c>
    </row>
    <row r="163" spans="1:18" ht="35.5" customHeight="1" x14ac:dyDescent="0.35">
      <c r="A163" s="2">
        <v>162</v>
      </c>
      <c r="B163" s="2" t="s">
        <v>302</v>
      </c>
      <c r="C163" s="67" t="s">
        <v>463</v>
      </c>
      <c r="D163" s="42" t="s">
        <v>19</v>
      </c>
      <c r="E163" s="42" t="s">
        <v>408</v>
      </c>
      <c r="F163" s="42">
        <v>45997</v>
      </c>
      <c r="G163" s="26">
        <v>1</v>
      </c>
      <c r="H163" s="29">
        <v>1776</v>
      </c>
      <c r="I163" s="29" t="s">
        <v>512</v>
      </c>
      <c r="J163" s="26">
        <v>5086200</v>
      </c>
      <c r="K163" s="5" t="s">
        <v>466</v>
      </c>
      <c r="L163" s="26">
        <v>5086200</v>
      </c>
      <c r="M163" s="26" t="s">
        <v>174</v>
      </c>
      <c r="N163" s="26" t="s">
        <v>509</v>
      </c>
      <c r="O163" s="48" t="s">
        <v>154</v>
      </c>
      <c r="P163" s="48" t="s">
        <v>510</v>
      </c>
      <c r="Q163" s="44" t="s">
        <v>61</v>
      </c>
      <c r="R163" s="44" t="s">
        <v>422</v>
      </c>
    </row>
    <row r="164" spans="1:18" ht="35.5" customHeight="1" x14ac:dyDescent="0.35">
      <c r="A164" s="2">
        <v>163</v>
      </c>
      <c r="B164" s="2" t="s">
        <v>123</v>
      </c>
      <c r="C164" s="40">
        <v>45994</v>
      </c>
      <c r="D164" s="48" t="s">
        <v>19</v>
      </c>
      <c r="E164" s="48" t="s">
        <v>313</v>
      </c>
      <c r="F164" s="48" t="s">
        <v>314</v>
      </c>
      <c r="G164" s="20">
        <v>2</v>
      </c>
      <c r="H164" s="48" t="s">
        <v>513</v>
      </c>
      <c r="I164" s="48" t="s">
        <v>96</v>
      </c>
      <c r="J164" s="61">
        <v>34698952</v>
      </c>
      <c r="K164" s="49" t="s">
        <v>97</v>
      </c>
      <c r="L164" s="61">
        <v>294000000</v>
      </c>
      <c r="M164" s="50" t="s">
        <v>120</v>
      </c>
      <c r="N164" s="50" t="s">
        <v>514</v>
      </c>
      <c r="O164" s="48" t="s">
        <v>154</v>
      </c>
      <c r="P164" s="20" t="s">
        <v>515</v>
      </c>
      <c r="Q164" s="44" t="s">
        <v>61</v>
      </c>
      <c r="R164" s="44" t="s">
        <v>422</v>
      </c>
    </row>
    <row r="165" spans="1:18" ht="35.5" customHeight="1" x14ac:dyDescent="0.35">
      <c r="A165" s="2">
        <v>164</v>
      </c>
      <c r="B165" s="2" t="s">
        <v>18</v>
      </c>
      <c r="C165" s="64" t="s">
        <v>407</v>
      </c>
      <c r="D165" s="29" t="s">
        <v>19</v>
      </c>
      <c r="E165" s="29" t="s">
        <v>408</v>
      </c>
      <c r="F165" s="31">
        <v>45628</v>
      </c>
      <c r="G165" s="50">
        <v>1</v>
      </c>
      <c r="H165" s="29">
        <v>1779</v>
      </c>
      <c r="I165" s="29" t="s">
        <v>516</v>
      </c>
      <c r="J165" s="20" t="s">
        <v>517</v>
      </c>
      <c r="K165" s="61" t="s">
        <v>23</v>
      </c>
      <c r="L165" s="20" t="s">
        <v>517</v>
      </c>
      <c r="M165" s="50" t="s">
        <v>174</v>
      </c>
      <c r="N165" s="50" t="s">
        <v>518</v>
      </c>
      <c r="O165" s="48" t="s">
        <v>154</v>
      </c>
      <c r="P165" s="23">
        <v>45759</v>
      </c>
      <c r="Q165" s="44" t="s">
        <v>41</v>
      </c>
      <c r="R165" s="44" t="s">
        <v>41</v>
      </c>
    </row>
    <row r="166" spans="1:18" ht="35.5" customHeight="1" x14ac:dyDescent="0.35">
      <c r="A166" s="2">
        <v>165</v>
      </c>
      <c r="B166" s="2" t="s">
        <v>302</v>
      </c>
      <c r="C166" s="68" t="s">
        <v>519</v>
      </c>
      <c r="D166" s="42" t="s">
        <v>520</v>
      </c>
      <c r="E166" s="42" t="s">
        <v>521</v>
      </c>
      <c r="F166" s="42" t="s">
        <v>522</v>
      </c>
      <c r="G166" s="26">
        <v>4</v>
      </c>
      <c r="H166" s="4" t="s">
        <v>523</v>
      </c>
      <c r="I166" s="4" t="s">
        <v>524</v>
      </c>
      <c r="J166" s="26" t="s">
        <v>525</v>
      </c>
      <c r="K166" s="5" t="s">
        <v>526</v>
      </c>
      <c r="L166" s="26" t="s">
        <v>527</v>
      </c>
      <c r="M166" s="26" t="s">
        <v>98</v>
      </c>
      <c r="N166" s="26" t="s">
        <v>528</v>
      </c>
      <c r="O166" s="4" t="s">
        <v>154</v>
      </c>
      <c r="P166" s="44" t="s">
        <v>529</v>
      </c>
      <c r="Q166" s="44" t="s">
        <v>61</v>
      </c>
      <c r="R166" s="44" t="s">
        <v>41</v>
      </c>
    </row>
    <row r="167" spans="1:18" ht="35.5" customHeight="1" x14ac:dyDescent="0.35">
      <c r="A167" s="2">
        <v>166</v>
      </c>
      <c r="B167" s="2" t="s">
        <v>123</v>
      </c>
      <c r="C167" s="32" t="s">
        <v>446</v>
      </c>
      <c r="D167" s="32" t="s">
        <v>447</v>
      </c>
      <c r="E167" s="32" t="s">
        <v>455</v>
      </c>
      <c r="F167" s="32" t="s">
        <v>449</v>
      </c>
      <c r="G167" s="54">
        <v>5</v>
      </c>
      <c r="H167" s="32" t="s">
        <v>492</v>
      </c>
      <c r="I167" s="32" t="s">
        <v>493</v>
      </c>
      <c r="J167" s="58">
        <v>93287715</v>
      </c>
      <c r="K167" s="61" t="s">
        <v>452</v>
      </c>
      <c r="L167" s="58">
        <v>93287715</v>
      </c>
      <c r="M167" s="54" t="s">
        <v>453</v>
      </c>
      <c r="N167" s="54" t="s">
        <v>461</v>
      </c>
      <c r="O167" s="13" t="s">
        <v>154</v>
      </c>
      <c r="P167" s="12">
        <v>45942</v>
      </c>
      <c r="Q167" s="42" t="s">
        <v>61</v>
      </c>
      <c r="R167" s="42" t="s">
        <v>41</v>
      </c>
    </row>
    <row r="168" spans="1:18" ht="35.5" customHeight="1" x14ac:dyDescent="0.35">
      <c r="A168" s="2">
        <v>167</v>
      </c>
      <c r="B168" s="2" t="s">
        <v>123</v>
      </c>
      <c r="C168" s="42" t="s">
        <v>381</v>
      </c>
      <c r="D168" s="42" t="s">
        <v>387</v>
      </c>
      <c r="E168" s="42" t="s">
        <v>382</v>
      </c>
      <c r="F168" s="42" t="s">
        <v>383</v>
      </c>
      <c r="G168" s="42">
        <v>2</v>
      </c>
      <c r="H168" s="42" t="s">
        <v>530</v>
      </c>
      <c r="I168" s="42" t="s">
        <v>531</v>
      </c>
      <c r="J168" s="42">
        <v>17670781</v>
      </c>
      <c r="K168" s="42" t="s">
        <v>385</v>
      </c>
      <c r="L168" s="42">
        <v>17670781</v>
      </c>
      <c r="M168" s="42" t="s">
        <v>174</v>
      </c>
      <c r="N168" s="42" t="s">
        <v>531</v>
      </c>
      <c r="O168" s="42" t="s">
        <v>154</v>
      </c>
      <c r="P168" s="69">
        <v>45973</v>
      </c>
      <c r="Q168" s="42" t="s">
        <v>61</v>
      </c>
      <c r="R168" s="42" t="s">
        <v>422</v>
      </c>
    </row>
    <row r="169" spans="1:18" ht="35.5" customHeight="1" x14ac:dyDescent="0.35">
      <c r="A169" s="2">
        <v>168</v>
      </c>
      <c r="B169" s="2" t="s">
        <v>123</v>
      </c>
      <c r="C169" s="42" t="s">
        <v>275</v>
      </c>
      <c r="D169" s="42" t="s">
        <v>387</v>
      </c>
      <c r="E169" s="42" t="s">
        <v>532</v>
      </c>
      <c r="F169" s="42" t="s">
        <v>275</v>
      </c>
      <c r="G169" s="42">
        <v>1</v>
      </c>
      <c r="H169" s="42">
        <v>1798</v>
      </c>
      <c r="I169" s="42" t="s">
        <v>533</v>
      </c>
      <c r="J169" s="42" t="s">
        <v>534</v>
      </c>
      <c r="K169" s="42" t="s">
        <v>483</v>
      </c>
      <c r="L169" s="42" t="s">
        <v>534</v>
      </c>
      <c r="M169" s="42" t="s">
        <v>120</v>
      </c>
      <c r="N169" s="42" t="s">
        <v>535</v>
      </c>
      <c r="O169" s="42" t="s">
        <v>154</v>
      </c>
      <c r="P169" s="42" t="s">
        <v>536</v>
      </c>
      <c r="Q169" s="42" t="s">
        <v>61</v>
      </c>
      <c r="R169" s="42" t="s">
        <v>41</v>
      </c>
    </row>
    <row r="170" spans="1:18" ht="35.5" customHeight="1" x14ac:dyDescent="0.35">
      <c r="A170" s="2">
        <v>169</v>
      </c>
      <c r="B170" s="2" t="s">
        <v>123</v>
      </c>
      <c r="C170" s="32" t="s">
        <v>446</v>
      </c>
      <c r="D170" s="32" t="s">
        <v>447</v>
      </c>
      <c r="E170" s="32" t="s">
        <v>455</v>
      </c>
      <c r="F170" s="32" t="s">
        <v>449</v>
      </c>
      <c r="G170" s="54">
        <v>3</v>
      </c>
      <c r="H170" s="32" t="s">
        <v>537</v>
      </c>
      <c r="I170" s="32" t="s">
        <v>495</v>
      </c>
      <c r="J170" s="58">
        <v>39836950</v>
      </c>
      <c r="K170" s="61" t="s">
        <v>452</v>
      </c>
      <c r="L170" s="58">
        <v>39836950</v>
      </c>
      <c r="M170" s="54" t="s">
        <v>98</v>
      </c>
      <c r="N170" s="54" t="s">
        <v>496</v>
      </c>
      <c r="O170" s="13" t="s">
        <v>154</v>
      </c>
      <c r="P170" s="42" t="s">
        <v>538</v>
      </c>
      <c r="Q170" s="44" t="s">
        <v>61</v>
      </c>
      <c r="R170" s="44" t="s">
        <v>422</v>
      </c>
    </row>
    <row r="171" spans="1:18" ht="35.5" customHeight="1" x14ac:dyDescent="0.35">
      <c r="A171" s="2">
        <v>170</v>
      </c>
      <c r="B171" s="2" t="s">
        <v>302</v>
      </c>
      <c r="C171" s="42" t="s">
        <v>539</v>
      </c>
      <c r="D171" s="42" t="s">
        <v>325</v>
      </c>
      <c r="E171" s="42" t="s">
        <v>325</v>
      </c>
      <c r="F171" s="42" t="s">
        <v>540</v>
      </c>
      <c r="G171" s="26">
        <v>16</v>
      </c>
      <c r="H171" s="4" t="s">
        <v>541</v>
      </c>
      <c r="I171" s="4" t="s">
        <v>249</v>
      </c>
      <c r="J171" s="26">
        <v>244879723</v>
      </c>
      <c r="K171" s="5" t="s">
        <v>542</v>
      </c>
      <c r="L171" s="26">
        <v>244879723</v>
      </c>
      <c r="M171" s="19" t="s">
        <v>152</v>
      </c>
      <c r="N171" s="26" t="s">
        <v>471</v>
      </c>
      <c r="O171" s="13" t="s">
        <v>154</v>
      </c>
      <c r="P171" s="26" t="s">
        <v>543</v>
      </c>
      <c r="Q171" s="44" t="s">
        <v>61</v>
      </c>
      <c r="R171" s="44" t="s">
        <v>422</v>
      </c>
    </row>
    <row r="172" spans="1:18" ht="35.5" customHeight="1" x14ac:dyDescent="0.35">
      <c r="A172" s="2">
        <v>171</v>
      </c>
      <c r="B172" s="2" t="s">
        <v>302</v>
      </c>
      <c r="C172" s="13" t="s">
        <v>463</v>
      </c>
      <c r="D172" s="4" t="s">
        <v>19</v>
      </c>
      <c r="E172" s="19" t="s">
        <v>87</v>
      </c>
      <c r="F172" s="11" t="s">
        <v>544</v>
      </c>
      <c r="G172" s="13">
        <v>6</v>
      </c>
      <c r="H172" s="13" t="s">
        <v>545</v>
      </c>
      <c r="I172" s="11" t="s">
        <v>546</v>
      </c>
      <c r="J172" s="70" t="s">
        <v>547</v>
      </c>
      <c r="K172" s="62" t="s">
        <v>246</v>
      </c>
      <c r="L172" s="71">
        <v>112250000</v>
      </c>
      <c r="M172" s="11" t="s">
        <v>548</v>
      </c>
      <c r="N172" s="11" t="s">
        <v>549</v>
      </c>
      <c r="O172" s="13" t="s">
        <v>154</v>
      </c>
      <c r="P172" s="11" t="s">
        <v>550</v>
      </c>
      <c r="Q172" s="44" t="s">
        <v>61</v>
      </c>
      <c r="R172" s="44" t="s">
        <v>422</v>
      </c>
    </row>
    <row r="173" spans="1:18" ht="35.5" customHeight="1" x14ac:dyDescent="0.35">
      <c r="A173" s="2">
        <v>172</v>
      </c>
      <c r="B173" s="2" t="s">
        <v>302</v>
      </c>
      <c r="C173" s="42" t="s">
        <v>539</v>
      </c>
      <c r="D173" s="42" t="s">
        <v>325</v>
      </c>
      <c r="E173" s="42" t="s">
        <v>325</v>
      </c>
      <c r="F173" s="42" t="s">
        <v>540</v>
      </c>
      <c r="G173" s="26">
        <v>20</v>
      </c>
      <c r="H173" s="4" t="s">
        <v>551</v>
      </c>
      <c r="I173" s="11" t="s">
        <v>552</v>
      </c>
      <c r="J173" s="26">
        <v>83813042</v>
      </c>
      <c r="K173" s="62" t="s">
        <v>246</v>
      </c>
      <c r="L173" s="26">
        <v>83813042</v>
      </c>
      <c r="M173" s="19" t="s">
        <v>152</v>
      </c>
      <c r="N173" s="26" t="s">
        <v>553</v>
      </c>
      <c r="O173" s="13" t="s">
        <v>154</v>
      </c>
      <c r="P173" s="11" t="s">
        <v>554</v>
      </c>
      <c r="Q173" s="44" t="s">
        <v>61</v>
      </c>
      <c r="R173" s="44"/>
    </row>
    <row r="174" spans="1:18" ht="35.5" customHeight="1" x14ac:dyDescent="0.35">
      <c r="A174" s="46">
        <v>173</v>
      </c>
      <c r="B174" s="2" t="s">
        <v>302</v>
      </c>
      <c r="C174" s="42" t="s">
        <v>539</v>
      </c>
      <c r="D174" s="42" t="s">
        <v>325</v>
      </c>
      <c r="E174" s="42" t="s">
        <v>325</v>
      </c>
      <c r="F174" s="42" t="s">
        <v>540</v>
      </c>
      <c r="G174" s="26">
        <v>19</v>
      </c>
      <c r="H174" s="4" t="s">
        <v>551</v>
      </c>
      <c r="I174" s="11" t="s">
        <v>552</v>
      </c>
      <c r="J174" s="26">
        <v>43748038</v>
      </c>
      <c r="K174" s="62" t="s">
        <v>246</v>
      </c>
      <c r="L174" s="26">
        <v>43748038</v>
      </c>
      <c r="M174" s="19" t="s">
        <v>152</v>
      </c>
      <c r="N174" s="26" t="s">
        <v>553</v>
      </c>
      <c r="O174" s="13" t="s">
        <v>154</v>
      </c>
      <c r="P174" s="11" t="s">
        <v>555</v>
      </c>
      <c r="Q174" s="44" t="s">
        <v>61</v>
      </c>
      <c r="R174" s="44" t="s">
        <v>422</v>
      </c>
    </row>
    <row r="175" spans="1:18" ht="35.5" customHeight="1" x14ac:dyDescent="0.35">
      <c r="A175" s="46">
        <v>174</v>
      </c>
      <c r="B175" s="2" t="s">
        <v>302</v>
      </c>
      <c r="C175" s="42" t="s">
        <v>539</v>
      </c>
      <c r="D175" s="42" t="s">
        <v>325</v>
      </c>
      <c r="E175" s="42" t="s">
        <v>325</v>
      </c>
      <c r="F175" s="42" t="s">
        <v>540</v>
      </c>
      <c r="G175" s="26">
        <v>9</v>
      </c>
      <c r="H175" s="4" t="s">
        <v>556</v>
      </c>
      <c r="I175" s="11" t="s">
        <v>552</v>
      </c>
      <c r="J175" s="26">
        <v>29603895</v>
      </c>
      <c r="K175" s="62" t="s">
        <v>246</v>
      </c>
      <c r="L175" s="26">
        <v>29603895</v>
      </c>
      <c r="M175" s="19" t="s">
        <v>152</v>
      </c>
      <c r="N175" s="26" t="s">
        <v>553</v>
      </c>
      <c r="O175" s="13" t="s">
        <v>154</v>
      </c>
      <c r="P175" s="44" t="s">
        <v>557</v>
      </c>
      <c r="Q175" s="44" t="s">
        <v>61</v>
      </c>
      <c r="R175" s="44" t="s">
        <v>422</v>
      </c>
    </row>
    <row r="176" spans="1:18" ht="35.5" customHeight="1" x14ac:dyDescent="0.35">
      <c r="A176" s="46">
        <v>175</v>
      </c>
      <c r="B176" s="2" t="s">
        <v>302</v>
      </c>
      <c r="C176" s="42" t="s">
        <v>539</v>
      </c>
      <c r="D176" s="42" t="s">
        <v>325</v>
      </c>
      <c r="E176" s="42" t="s">
        <v>325</v>
      </c>
      <c r="F176" s="42" t="s">
        <v>540</v>
      </c>
      <c r="G176" s="26">
        <v>14</v>
      </c>
      <c r="H176" s="4" t="s">
        <v>558</v>
      </c>
      <c r="I176" s="11" t="s">
        <v>552</v>
      </c>
      <c r="J176" s="26">
        <v>48726768</v>
      </c>
      <c r="K176" s="62" t="s">
        <v>246</v>
      </c>
      <c r="L176" s="26">
        <v>48726768</v>
      </c>
      <c r="M176" s="19" t="s">
        <v>152</v>
      </c>
      <c r="N176" s="26" t="s">
        <v>553</v>
      </c>
      <c r="O176" s="13" t="s">
        <v>154</v>
      </c>
      <c r="P176" s="44" t="s">
        <v>559</v>
      </c>
      <c r="Q176" s="44" t="s">
        <v>61</v>
      </c>
      <c r="R176" s="44" t="s">
        <v>422</v>
      </c>
    </row>
    <row r="177" spans="1:18" ht="35.5" customHeight="1" x14ac:dyDescent="0.35">
      <c r="A177" s="46">
        <v>176</v>
      </c>
      <c r="B177" s="46"/>
      <c r="C177" s="42"/>
      <c r="D177" s="42" t="s">
        <v>325</v>
      </c>
      <c r="E177" s="72" t="s">
        <v>560</v>
      </c>
      <c r="F177" s="73" t="s">
        <v>561</v>
      </c>
      <c r="G177" s="26">
        <v>31</v>
      </c>
      <c r="H177" s="4" t="s">
        <v>562</v>
      </c>
      <c r="I177" s="19" t="s">
        <v>96</v>
      </c>
      <c r="J177" s="26" t="s">
        <v>563</v>
      </c>
      <c r="K177" s="62" t="s">
        <v>466</v>
      </c>
      <c r="L177" s="26" t="s">
        <v>563</v>
      </c>
      <c r="M177" s="19" t="s">
        <v>152</v>
      </c>
      <c r="N177" s="72" t="s">
        <v>560</v>
      </c>
      <c r="O177" s="13" t="s">
        <v>154</v>
      </c>
      <c r="P177" s="44" t="s">
        <v>559</v>
      </c>
      <c r="Q177" s="44" t="s">
        <v>61</v>
      </c>
      <c r="R177" s="44"/>
    </row>
  </sheetData>
  <autoFilter ref="A1:R177" xr:uid="{00000000-0001-0000-0000-000000000000}"/>
  <dataValidations count="1">
    <dataValidation type="list" allowBlank="1" showErrorMessage="1" sqref="Q2:R119 Q121:R147 Q149:R177" xr:uid="{AB41E926-D3CD-40BC-B8FD-EB82E129E02A}">
      <formula1>"Delivered,Not Delivered,Partially Delivered,yes,no"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Dwivedi, Vivek</dc:creator>
  <cp:lastModifiedBy>Dwivedi, Vivek</cp:lastModifiedBy>
  <dcterms:created xsi:type="dcterms:W3CDTF">2015-06-05T18:17:20Z</dcterms:created>
  <dcterms:modified xsi:type="dcterms:W3CDTF">2026-04-01T06:28:30Z</dcterms:modified>
</cp:coreProperties>
</file>